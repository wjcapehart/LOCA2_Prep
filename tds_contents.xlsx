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jc/GitHub/LOCA2_Prep/"/>
    </mc:Choice>
  </mc:AlternateContent>
  <xr:revisionPtr revIDLastSave="0" documentId="13_ncr:1_{1B6F1746-675E-EC4B-B22F-8A2B9FB111B8}" xr6:coauthVersionLast="47" xr6:coauthVersionMax="47" xr10:uidLastSave="{00000000-0000-0000-0000-000000000000}"/>
  <bookViews>
    <workbookView xWindow="540" yWindow="500" windowWidth="34340" windowHeight="20760" activeTab="4" xr2:uid="{53ABE3C2-C6D8-5C45-9C34-C0912D085DB9}"/>
  </bookViews>
  <sheets>
    <sheet name="Historical" sheetId="1" r:id="rId1"/>
    <sheet name="SSP2-4.5" sheetId="2" r:id="rId2"/>
    <sheet name="SSP3-7.0" sheetId="3" r:id="rId3"/>
    <sheet name="SSP5-8.5" sheetId="4" r:id="rId4"/>
    <sheet name="available_inv" sheetId="6" r:id="rId5"/>
  </sheets>
  <definedNames>
    <definedName name="_xlnm._FilterDatabase" localSheetId="4" hidden="1">available_inv!$A$1:$Q$70</definedName>
    <definedName name="_xlnm._FilterDatabase" localSheetId="0" hidden="1">Historical!$A$1:$D$1</definedName>
    <definedName name="_xlnm._FilterDatabase" localSheetId="1" hidden="1">'SSP2-4.5'!$A$1:$D$1</definedName>
    <definedName name="_xlnm._FilterDatabase" localSheetId="2" hidden="1">'SSP3-7.0'!$A$1:$D$1</definedName>
    <definedName name="_xlnm._FilterDatabase" localSheetId="3" hidden="1">'SSP5-8.5'!$A$1:$D$1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0" i="6" l="1"/>
  <c r="P70" i="6"/>
  <c r="O70" i="6"/>
  <c r="N70" i="6"/>
  <c r="Q69" i="6"/>
  <c r="P69" i="6"/>
  <c r="O69" i="6"/>
  <c r="N69" i="6"/>
  <c r="Q68" i="6"/>
  <c r="P68" i="6"/>
  <c r="O68" i="6"/>
  <c r="N68" i="6"/>
  <c r="Q67" i="6"/>
  <c r="P67" i="6"/>
  <c r="O67" i="6"/>
  <c r="N67" i="6"/>
  <c r="Q66" i="6"/>
  <c r="P66" i="6"/>
  <c r="O66" i="6"/>
  <c r="N66" i="6"/>
  <c r="Q65" i="6"/>
  <c r="P65" i="6"/>
  <c r="O65" i="6"/>
  <c r="N65" i="6"/>
  <c r="Q64" i="6"/>
  <c r="P64" i="6"/>
  <c r="O64" i="6"/>
  <c r="N64" i="6"/>
  <c r="Q63" i="6"/>
  <c r="P63" i="6"/>
  <c r="O63" i="6"/>
  <c r="N63" i="6"/>
  <c r="Q62" i="6"/>
  <c r="P62" i="6"/>
  <c r="O62" i="6"/>
  <c r="N62" i="6"/>
  <c r="Q61" i="6"/>
  <c r="P61" i="6"/>
  <c r="O61" i="6"/>
  <c r="N61" i="6"/>
  <c r="Q60" i="6"/>
  <c r="P60" i="6"/>
  <c r="O60" i="6"/>
  <c r="N60" i="6"/>
  <c r="Q59" i="6"/>
  <c r="P59" i="6"/>
  <c r="O59" i="6"/>
  <c r="N59" i="6"/>
  <c r="Q58" i="6"/>
  <c r="P58" i="6"/>
  <c r="O58" i="6"/>
  <c r="N58" i="6"/>
  <c r="Q57" i="6"/>
  <c r="P57" i="6"/>
  <c r="O57" i="6"/>
  <c r="N57" i="6"/>
  <c r="Q56" i="6"/>
  <c r="P56" i="6"/>
  <c r="O56" i="6"/>
  <c r="N56" i="6"/>
  <c r="Q55" i="6"/>
  <c r="P55" i="6"/>
  <c r="O55" i="6"/>
  <c r="N55" i="6"/>
  <c r="Q54" i="6"/>
  <c r="P54" i="6"/>
  <c r="O54" i="6"/>
  <c r="N54" i="6"/>
  <c r="Q53" i="6"/>
  <c r="P53" i="6"/>
  <c r="O53" i="6"/>
  <c r="N53" i="6"/>
  <c r="Q52" i="6"/>
  <c r="P52" i="6"/>
  <c r="O52" i="6"/>
  <c r="N52" i="6"/>
  <c r="Q51" i="6"/>
  <c r="P51" i="6"/>
  <c r="O51" i="6"/>
  <c r="N51" i="6"/>
  <c r="Q50" i="6"/>
  <c r="P50" i="6"/>
  <c r="O50" i="6"/>
  <c r="N50" i="6"/>
  <c r="Q49" i="6"/>
  <c r="P49" i="6"/>
  <c r="O49" i="6"/>
  <c r="N49" i="6"/>
  <c r="Q48" i="6"/>
  <c r="P48" i="6"/>
  <c r="O48" i="6"/>
  <c r="N48" i="6"/>
  <c r="Q47" i="6"/>
  <c r="P47" i="6"/>
  <c r="O47" i="6"/>
  <c r="N47" i="6"/>
  <c r="Q46" i="6"/>
  <c r="P46" i="6"/>
  <c r="O46" i="6"/>
  <c r="N46" i="6"/>
  <c r="Q45" i="6"/>
  <c r="P45" i="6"/>
  <c r="O45" i="6"/>
  <c r="N45" i="6"/>
  <c r="Q44" i="6"/>
  <c r="P44" i="6"/>
  <c r="O44" i="6"/>
  <c r="N44" i="6"/>
  <c r="Q43" i="6"/>
  <c r="P43" i="6"/>
  <c r="O43" i="6"/>
  <c r="N43" i="6"/>
  <c r="Q42" i="6"/>
  <c r="P42" i="6"/>
  <c r="O42" i="6"/>
  <c r="N42" i="6"/>
  <c r="Q41" i="6"/>
  <c r="P41" i="6"/>
  <c r="O41" i="6"/>
  <c r="N41" i="6"/>
  <c r="Q40" i="6"/>
  <c r="P40" i="6"/>
  <c r="O40" i="6"/>
  <c r="N40" i="6"/>
  <c r="Q39" i="6"/>
  <c r="P39" i="6"/>
  <c r="O39" i="6"/>
  <c r="N39" i="6"/>
  <c r="Q38" i="6"/>
  <c r="P38" i="6"/>
  <c r="O38" i="6"/>
  <c r="N38" i="6"/>
  <c r="Q37" i="6"/>
  <c r="P37" i="6"/>
  <c r="O37" i="6"/>
  <c r="N37" i="6"/>
  <c r="Q36" i="6"/>
  <c r="P36" i="6"/>
  <c r="O36" i="6"/>
  <c r="N36" i="6"/>
  <c r="Q35" i="6"/>
  <c r="P35" i="6"/>
  <c r="O35" i="6"/>
  <c r="N35" i="6"/>
  <c r="Q34" i="6"/>
  <c r="P34" i="6"/>
  <c r="O34" i="6"/>
  <c r="N34" i="6"/>
  <c r="Q33" i="6"/>
  <c r="P33" i="6"/>
  <c r="O33" i="6"/>
  <c r="N33" i="6"/>
  <c r="Q32" i="6"/>
  <c r="P32" i="6"/>
  <c r="O32" i="6"/>
  <c r="N32" i="6"/>
  <c r="Q31" i="6"/>
  <c r="P31" i="6"/>
  <c r="O31" i="6"/>
  <c r="N31" i="6"/>
  <c r="Q30" i="6"/>
  <c r="P30" i="6"/>
  <c r="O30" i="6"/>
  <c r="N30" i="6"/>
  <c r="Q29" i="6"/>
  <c r="P29" i="6"/>
  <c r="O29" i="6"/>
  <c r="N29" i="6"/>
  <c r="Q28" i="6"/>
  <c r="P28" i="6"/>
  <c r="O28" i="6"/>
  <c r="N28" i="6"/>
  <c r="Q27" i="6"/>
  <c r="P27" i="6"/>
  <c r="O27" i="6"/>
  <c r="N27" i="6"/>
  <c r="Q26" i="6"/>
  <c r="P26" i="6"/>
  <c r="O26" i="6"/>
  <c r="N26" i="6"/>
  <c r="Q25" i="6"/>
  <c r="P25" i="6"/>
  <c r="O25" i="6"/>
  <c r="N25" i="6"/>
  <c r="Q24" i="6"/>
  <c r="P24" i="6"/>
  <c r="O24" i="6"/>
  <c r="N24" i="6"/>
  <c r="Q23" i="6"/>
  <c r="P23" i="6"/>
  <c r="O23" i="6"/>
  <c r="N23" i="6"/>
  <c r="Q22" i="6"/>
  <c r="P22" i="6"/>
  <c r="O22" i="6"/>
  <c r="N22" i="6"/>
  <c r="Q21" i="6"/>
  <c r="P21" i="6"/>
  <c r="O21" i="6"/>
  <c r="N21" i="6"/>
  <c r="Q20" i="6"/>
  <c r="P20" i="6"/>
  <c r="O20" i="6"/>
  <c r="N20" i="6"/>
  <c r="Q19" i="6"/>
  <c r="P19" i="6"/>
  <c r="O19" i="6"/>
  <c r="N19" i="6"/>
  <c r="Q18" i="6"/>
  <c r="P18" i="6"/>
  <c r="O18" i="6"/>
  <c r="N18" i="6"/>
  <c r="Q17" i="6"/>
  <c r="P17" i="6"/>
  <c r="O17" i="6"/>
  <c r="N17" i="6"/>
  <c r="Q16" i="6"/>
  <c r="P16" i="6"/>
  <c r="O16" i="6"/>
  <c r="N16" i="6"/>
  <c r="Q15" i="6"/>
  <c r="P15" i="6"/>
  <c r="O15" i="6"/>
  <c r="N15" i="6"/>
  <c r="Q14" i="6"/>
  <c r="P14" i="6"/>
  <c r="O14" i="6"/>
  <c r="N14" i="6"/>
  <c r="Q13" i="6"/>
  <c r="P13" i="6"/>
  <c r="O13" i="6"/>
  <c r="N13" i="6"/>
  <c r="Q12" i="6"/>
  <c r="P12" i="6"/>
  <c r="O12" i="6"/>
  <c r="N12" i="6"/>
  <c r="Q11" i="6"/>
  <c r="P11" i="6"/>
  <c r="O11" i="6"/>
  <c r="N11" i="6"/>
  <c r="Q10" i="6"/>
  <c r="P10" i="6"/>
  <c r="O10" i="6"/>
  <c r="N10" i="6"/>
  <c r="Q9" i="6"/>
  <c r="P9" i="6"/>
  <c r="O9" i="6"/>
  <c r="N9" i="6"/>
  <c r="Q8" i="6"/>
  <c r="P8" i="6"/>
  <c r="O8" i="6"/>
  <c r="N8" i="6"/>
  <c r="Q7" i="6"/>
  <c r="P7" i="6"/>
  <c r="O7" i="6"/>
  <c r="N7" i="6"/>
  <c r="Q6" i="6"/>
  <c r="P6" i="6"/>
  <c r="O6" i="6"/>
  <c r="N6" i="6"/>
  <c r="Q5" i="6"/>
  <c r="P5" i="6"/>
  <c r="O5" i="6"/>
  <c r="N5" i="6"/>
  <c r="Q4" i="6"/>
  <c r="P4" i="6"/>
  <c r="O4" i="6"/>
  <c r="N4" i="6"/>
  <c r="Q3" i="6"/>
  <c r="P3" i="6"/>
  <c r="O3" i="6"/>
  <c r="N3" i="6"/>
  <c r="Q2" i="6"/>
  <c r="P2" i="6"/>
  <c r="N2" i="6"/>
  <c r="O2" i="6"/>
  <c r="L56" i="6"/>
  <c r="L32" i="6"/>
  <c r="L19" i="6"/>
  <c r="L18" i="6"/>
  <c r="L14" i="6"/>
  <c r="L6" i="6"/>
  <c r="L68" i="6"/>
  <c r="L63" i="6"/>
  <c r="L61" i="6"/>
  <c r="L59" i="6"/>
  <c r="L55" i="6"/>
  <c r="L51" i="6"/>
  <c r="L46" i="6"/>
  <c r="L38" i="6"/>
  <c r="L29" i="6"/>
  <c r="L26" i="6"/>
  <c r="L22" i="6"/>
  <c r="L12" i="6"/>
  <c r="L11" i="6"/>
  <c r="K56" i="6"/>
  <c r="K32" i="6"/>
  <c r="K19" i="6"/>
  <c r="K18" i="6"/>
  <c r="K14" i="6"/>
  <c r="K4" i="6"/>
  <c r="K58" i="6"/>
  <c r="K53" i="6"/>
  <c r="K41" i="6"/>
  <c r="K33" i="6"/>
  <c r="K17" i="6"/>
  <c r="K13" i="6"/>
  <c r="K8" i="6"/>
  <c r="J68" i="6"/>
  <c r="J63" i="6"/>
  <c r="J61" i="6"/>
  <c r="J59" i="6"/>
  <c r="J58" i="6"/>
  <c r="J55" i="6"/>
  <c r="J53" i="6"/>
  <c r="J51" i="6"/>
  <c r="J46" i="6"/>
  <c r="J41" i="6"/>
  <c r="J38" i="6"/>
  <c r="J33" i="6"/>
  <c r="J29" i="6"/>
  <c r="J26" i="6"/>
  <c r="J22" i="6"/>
  <c r="J17" i="6"/>
  <c r="J13" i="6"/>
  <c r="J12" i="6"/>
  <c r="J11" i="6"/>
  <c r="J8" i="6"/>
</calcChain>
</file>

<file path=xl/sharedStrings.xml><?xml version="1.0" encoding="utf-8"?>
<sst xmlns="http://schemas.openxmlformats.org/spreadsheetml/2006/main" count="893" uniqueCount="357">
  <si>
    <t>2025-07-23T21:19:26.082Z</t>
  </si>
  <si>
    <t>2023-08-02T08:21:04.615Z</t>
  </si>
  <si>
    <t>2023-06-09T04:10:18.992Z</t>
  </si>
  <si>
    <t>2025-07-22T22:14:55.100Z</t>
  </si>
  <si>
    <t>2023-08-03T07:18:12.303Z</t>
  </si>
  <si>
    <t>2023-06-08T18:41:48.449Z</t>
  </si>
  <si>
    <t>2025-07-26T03:04:58.472Z</t>
  </si>
  <si>
    <t>2023-06-15T03:40:01.950Z</t>
  </si>
  <si>
    <t>2023-08-17T11:58:02.316Z</t>
  </si>
  <si>
    <t>2025-07-16T19:20:21.670Z</t>
  </si>
  <si>
    <t>2023-06-27T08:55:37.559Z</t>
  </si>
  <si>
    <t>2025-07-24T01:47:07.387Z</t>
  </si>
  <si>
    <t>2023-06-10T16:55:46.223Z</t>
  </si>
  <si>
    <t>2023-08-05T05:35:04.442Z</t>
  </si>
  <si>
    <t>2025-07-19T21:28:43.171Z</t>
  </si>
  <si>
    <t>2025-07-17T23:02:44.532Z</t>
  </si>
  <si>
    <t>2025-07-19T01:22:36.215Z</t>
  </si>
  <si>
    <t>2025-07-23T21:27:23.092Z</t>
  </si>
  <si>
    <t>2023-06-16T09:10:22.802Z</t>
  </si>
  <si>
    <t>2023-08-10T13:08:19.182Z</t>
  </si>
  <si>
    <t>2023-06-23T02:32:11.148Z</t>
  </si>
  <si>
    <t>2023-06-10T16:54:42.394Z</t>
  </si>
  <si>
    <t>2025-07-25T02:23:28.420Z</t>
  </si>
  <si>
    <t>2023-08-07T00:41:00.624Z</t>
  </si>
  <si>
    <t>2023-06-24T06:01:35.912Z</t>
  </si>
  <si>
    <t>2025-07-23T02:37:38.094Z</t>
  </si>
  <si>
    <t>2023-08-05T22:50:42.343Z</t>
  </si>
  <si>
    <t>2023-06-10T16:54:37.450Z</t>
  </si>
  <si>
    <t>2025-07-26T03:07:58.121Z</t>
  </si>
  <si>
    <t>2025-07-22T22:06:36.213Z</t>
  </si>
  <si>
    <t>2023-08-04T14:43:09.233Z</t>
  </si>
  <si>
    <t>2025-07-15T01:33:03.787Z</t>
  </si>
  <si>
    <t>2025-07-14T05:20:35.850Z</t>
  </si>
  <si>
    <t>2023-07-02T23:31:46.478Z</t>
  </si>
  <si>
    <t>2023-06-12T04:16:43.190Z</t>
  </si>
  <si>
    <t>2025-07-22T22:16:05.317Z</t>
  </si>
  <si>
    <t>2023-06-08T09:31:42.562Z</t>
  </si>
  <si>
    <t>2025-07-21T23:18:06.214Z</t>
  </si>
  <si>
    <t>2025-07-19T21:32:52.304Z</t>
  </si>
  <si>
    <t>2023-06-19T03:25:21.727Z</t>
  </si>
  <si>
    <t>2025-07-26T03:09:57.928Z</t>
  </si>
  <si>
    <t>2025-07-21T23:19:40.050Z</t>
  </si>
  <si>
    <t>2023-06-24T06:05:55.186Z</t>
  </si>
  <si>
    <t>2023-06-13T11:57:31.793Z</t>
  </si>
  <si>
    <t>2025-07-23T21:32:40.430Z</t>
  </si>
  <si>
    <t>2023-09-02T04:03:55.559Z</t>
  </si>
  <si>
    <t>2023-06-12T04:19:04.015Z</t>
  </si>
  <si>
    <t>2025-07-25T02:25:36.889Z</t>
  </si>
  <si>
    <t>2023-08-14T13:14:00.313Z</t>
  </si>
  <si>
    <t>2025-07-20T23:02:51.509Z</t>
  </si>
  <si>
    <t>2023-06-08T18:26:33.679Z</t>
  </si>
  <si>
    <t>2023-08-07T00:53:59.849Z</t>
  </si>
  <si>
    <t>2025-07-25T02:34:45.616Z</t>
  </si>
  <si>
    <t>2023-07-04T12:00:19.607Z</t>
  </si>
  <si>
    <t>2023-06-13T11:53:18.675Z</t>
  </si>
  <si>
    <t>2023-08-13T21:07:53.502Z</t>
  </si>
  <si>
    <t>2025-07-25T02:37:57.316Z</t>
  </si>
  <si>
    <t>2023-07-05T13:38:30.102Z</t>
  </si>
  <si>
    <t>2023-06-03T08:16:42.570Z</t>
  </si>
  <si>
    <t>2023-08-13T12:43:23.202Z</t>
  </si>
  <si>
    <t>2025-07-26T03:03:09.134Z</t>
  </si>
  <si>
    <t>2023-07-26T06:14:30.392Z</t>
  </si>
  <si>
    <t>2025-07-20T23:01:23.705Z</t>
  </si>
  <si>
    <t>2023-06-18T10:56:48.192Z</t>
  </si>
  <si>
    <t>2025-07-22T22:03:45.693Z</t>
  </si>
  <si>
    <t>2023-06-07T01:36:58.307Z</t>
  </si>
  <si>
    <t>2023-08-29T03:34:35.654Z</t>
  </si>
  <si>
    <t>2025-07-23T21:21:59.666Z</t>
  </si>
  <si>
    <t>2025-07-19T01:33:03.035Z</t>
  </si>
  <si>
    <t>2025-07-24T03:08:55.616Z</t>
  </si>
  <si>
    <t>2023-08-04T02:25:48.378Z</t>
  </si>
  <si>
    <t>2023-06-09T06:55:33.364Z</t>
  </si>
  <si>
    <t>2025-07-23T04:03:17.082Z</t>
  </si>
  <si>
    <t>2023-08-04T03:13:24.785Z</t>
  </si>
  <si>
    <t>2023-06-08T23:49:50.942Z</t>
  </si>
  <si>
    <t>2025-07-26T08:54:10.031Z</t>
  </si>
  <si>
    <t>2025-07-17T01:38:59.708Z</t>
  </si>
  <si>
    <t>2025-07-18T04:50:11.940Z</t>
  </si>
  <si>
    <t>2025-07-19T06:56:16.993Z</t>
  </si>
  <si>
    <t>2025-07-24T03:21:50.035Z</t>
  </si>
  <si>
    <t>2023-06-16T11:38:17.514Z</t>
  </si>
  <si>
    <t>2023-08-12T07:04:50.713Z</t>
  </si>
  <si>
    <t>2023-06-23T05:43:58.271Z</t>
  </si>
  <si>
    <t>2023-07-02T08:05:19.461Z</t>
  </si>
  <si>
    <t>2025-07-25T08:21:19.704Z</t>
  </si>
  <si>
    <t>2023-08-08T04:19:20.852Z</t>
  </si>
  <si>
    <t>2023-06-27T12:05:45.364Z</t>
  </si>
  <si>
    <t>2025-07-23T14:08:33.373Z</t>
  </si>
  <si>
    <t>2023-06-10T20:48:39.159Z</t>
  </si>
  <si>
    <t>2025-07-26T08:59:56.317Z</t>
  </si>
  <si>
    <t>2025-07-23T04:00:00.478Z</t>
  </si>
  <si>
    <t>2023-08-04T17:02:26.732Z</t>
  </si>
  <si>
    <t>2025-07-15T07:38:40.287Z</t>
  </si>
  <si>
    <t>2025-07-12T01:34:39.139Z</t>
  </si>
  <si>
    <t>2025-07-20T03:05:59.447Z</t>
  </si>
  <si>
    <t>2023-06-21T01:30:28.564Z</t>
  </si>
  <si>
    <t>2023-06-27T12:11:10.334Z</t>
  </si>
  <si>
    <t>2023-07-04T14:26:08.092Z</t>
  </si>
  <si>
    <t>2025-07-24T03:13:31.588Z</t>
  </si>
  <si>
    <t>2023-06-12T07:01:49.688Z</t>
  </si>
  <si>
    <t>2025-07-25T08:26:02.075Z</t>
  </si>
  <si>
    <t>2023-08-21T23:59:09.192Z</t>
  </si>
  <si>
    <t>2025-07-21T04:34:36.773Z</t>
  </si>
  <si>
    <t>2023-06-08T23:39:17.619Z</t>
  </si>
  <si>
    <t>2023-08-08T04:20:10.436Z</t>
  </si>
  <si>
    <t>2023-07-04T14:47:56.597Z</t>
  </si>
  <si>
    <t>2023-06-13T14:47:55.558Z</t>
  </si>
  <si>
    <t>2025-07-25T08:42:27.861Z</t>
  </si>
  <si>
    <t>2023-07-05T16:12:18.941Z</t>
  </si>
  <si>
    <t>2023-06-03T10:45:30.475Z</t>
  </si>
  <si>
    <t>2023-08-13T15:10:43.774Z</t>
  </si>
  <si>
    <t>2025-07-26T08:46:04.197Z</t>
  </si>
  <si>
    <t>2023-06-20T12:35:32.034Z</t>
  </si>
  <si>
    <t>2025-07-23T03:56:03.793Z</t>
  </si>
  <si>
    <t>2023-06-07T05:00:58.868Z</t>
  </si>
  <si>
    <t>2023-07-05T02:28:48.958Z</t>
  </si>
  <si>
    <t>2025-07-24T07:30:35.070Z</t>
  </si>
  <si>
    <t>2025-07-19T07:09:44.844Z</t>
  </si>
  <si>
    <t>2025-07-24T14:45:43.813Z</t>
  </si>
  <si>
    <t>2023-08-03T09:43:39.731Z</t>
  </si>
  <si>
    <t>2023-06-09T06:52:42.210Z</t>
  </si>
  <si>
    <t>2025-07-23T15:36:32.651Z</t>
  </si>
  <si>
    <t>2023-08-02T11:36:28.103Z</t>
  </si>
  <si>
    <t>2023-06-08T23:44:02.130Z</t>
  </si>
  <si>
    <t>2025-07-26T20:32:51.486Z</t>
  </si>
  <si>
    <t>2025-07-17T12:41:28.612Z</t>
  </si>
  <si>
    <t>2025-07-20T02:59:24.113Z</t>
  </si>
  <si>
    <t>2025-07-18T17:37:30.973Z</t>
  </si>
  <si>
    <t>2025-07-19T17:59:57.033Z</t>
  </si>
  <si>
    <t>2025-07-24T15:05:04.124Z</t>
  </si>
  <si>
    <t>2023-06-16T11:47:08.107Z</t>
  </si>
  <si>
    <t>2023-08-10T15:49:56.844Z</t>
  </si>
  <si>
    <t>2023-06-24T09:45:34.084Z</t>
  </si>
  <si>
    <t>2023-07-02T08:05:07.009Z</t>
  </si>
  <si>
    <t>2025-07-25T19:40:42.129Z</t>
  </si>
  <si>
    <t>2023-06-27T10:36:19.218Z</t>
  </si>
  <si>
    <t>2023-08-06T00:50:57.457Z</t>
  </si>
  <si>
    <t>2023-06-10T20:51:19.076Z</t>
  </si>
  <si>
    <t>2023-07-09T14:28:27.891Z</t>
  </si>
  <si>
    <t>2025-07-23T15:36:31.387Z</t>
  </si>
  <si>
    <t>2023-08-05T07:42:16.172Z</t>
  </si>
  <si>
    <t>2025-07-15T13:17:48.656Z</t>
  </si>
  <si>
    <t>2025-07-14T18:47:12.147Z</t>
  </si>
  <si>
    <t>2023-07-06T06:26:08.157Z</t>
  </si>
  <si>
    <t>2023-06-12T07:01:44.756Z</t>
  </si>
  <si>
    <t>2025-07-23T08:24:47.196Z</t>
  </si>
  <si>
    <t>2023-06-08T14:42:41.111Z</t>
  </si>
  <si>
    <t>2025-07-22T04:59:28.440Z</t>
  </si>
  <si>
    <t>2025-07-20T13:59:56.478Z</t>
  </si>
  <si>
    <t>2023-07-08T11:21:54.054Z</t>
  </si>
  <si>
    <t>2023-07-05T16:17:06.879Z</t>
  </si>
  <si>
    <t>2025-07-24T14:55:37.066Z</t>
  </si>
  <si>
    <t>2023-06-12T06:58:50.258Z</t>
  </si>
  <si>
    <t>2025-07-25T19:52:26.120Z</t>
  </si>
  <si>
    <t>2023-08-23T22:59:36.682Z</t>
  </si>
  <si>
    <t>2025-07-21T15:49:37.420Z</t>
  </si>
  <si>
    <t>2023-06-08T23:53:25.196Z</t>
  </si>
  <si>
    <t>2023-08-07T03:16:59.308Z</t>
  </si>
  <si>
    <t>2023-07-04T14:40:55.309Z</t>
  </si>
  <si>
    <t>2023-06-13T14:43:15.867Z</t>
  </si>
  <si>
    <t>2023-07-04T05:38:14.435Z</t>
  </si>
  <si>
    <t>2023-07-05T16:07:07.586Z</t>
  </si>
  <si>
    <t>2023-06-03T10:40:59Z</t>
  </si>
  <si>
    <t>2023-08-13T07:08:33.547Z</t>
  </si>
  <si>
    <t>2025-07-26T20:14:36.451Z</t>
  </si>
  <si>
    <t>2023-06-18T13:47:56.803Z</t>
  </si>
  <si>
    <t>2023-06-10T20:54:13.370Z</t>
  </si>
  <si>
    <t>ACCESS-CM2</t>
  </si>
  <si>
    <t>ACCESS-ESM1-5</t>
  </si>
  <si>
    <t>AWI-CM-1-1-MR</t>
  </si>
  <si>
    <t>BCC-CSM2-MR</t>
  </si>
  <si>
    <t>CanESM5</t>
  </si>
  <si>
    <t>CESM2-LENS</t>
  </si>
  <si>
    <t>CNRM-CM6-1</t>
  </si>
  <si>
    <t>CNRM-CM6-1-HR</t>
  </si>
  <si>
    <t>CNRM-ESM2-1</t>
  </si>
  <si>
    <t>EC-Earth3</t>
  </si>
  <si>
    <t>EC-Earth3-Veg</t>
  </si>
  <si>
    <t>FGOALS-g3</t>
  </si>
  <si>
    <t>GFDL-CM4</t>
  </si>
  <si>
    <t>GFDL-ESM4</t>
  </si>
  <si>
    <t>HadGEM3-GC31-LL</t>
  </si>
  <si>
    <t>HadGEM3-GC31-MM</t>
  </si>
  <si>
    <t>INM-CM4-8</t>
  </si>
  <si>
    <t>INM-CM5-0</t>
  </si>
  <si>
    <t>IPSL-CM6A-LR</t>
  </si>
  <si>
    <t>KACE-1-0-G</t>
  </si>
  <si>
    <t>MIROC6</t>
  </si>
  <si>
    <t>MPI-ESM1-2-HR</t>
  </si>
  <si>
    <t>MPI-ESM1-2-LR</t>
  </si>
  <si>
    <t>MRI-ESM2-0</t>
  </si>
  <si>
    <t>NorESM2-LM</t>
  </si>
  <si>
    <t>NorESM2-MM</t>
  </si>
  <si>
    <t>TaiESM1</t>
  </si>
  <si>
    <t>2025-07-24T08:58:57.515Z</t>
  </si>
  <si>
    <t>2023-08-03T09:40:36.602Z</t>
  </si>
  <si>
    <t>2023-06-09T06:52:31.430Z</t>
  </si>
  <si>
    <t>2025-07-23T09:52:27.697Z</t>
  </si>
  <si>
    <t>2023-08-03T09:59:44.229Z</t>
  </si>
  <si>
    <t>2023-06-08T23:53:39.172Z</t>
  </si>
  <si>
    <t>2025-07-26T14:37:23.877Z</t>
  </si>
  <si>
    <t>2023-06-15T07:12:50.787Z</t>
  </si>
  <si>
    <t>2023-08-17T14:02:00.058Z</t>
  </si>
  <si>
    <t>2025-07-17T07:05:51.138Z</t>
  </si>
  <si>
    <t>2023-06-23T05:48:08.253Z</t>
  </si>
  <si>
    <t>2025-07-24T13:14:17.214Z</t>
  </si>
  <si>
    <t>2023-06-11T12:37:37.883Z</t>
  </si>
  <si>
    <t>2023-08-05T07:51:00.447Z</t>
  </si>
  <si>
    <t>2025-07-18T11:58:08.339Z</t>
  </si>
  <si>
    <t>2025-07-19T12:28:19.480Z</t>
  </si>
  <si>
    <t>2025-07-24T09:15:39.604Z</t>
  </si>
  <si>
    <t>2023-06-16T11:52:06.310Z</t>
  </si>
  <si>
    <t>2023-08-12T07:05:07.857Z</t>
  </si>
  <si>
    <t>2023-06-23T05:44:43.995Z</t>
  </si>
  <si>
    <t>2023-07-02T08:08:50.527Z</t>
  </si>
  <si>
    <t>2025-07-25T14:00:42.946Z</t>
  </si>
  <si>
    <t>2023-06-27T12:10:44.382Z</t>
  </si>
  <si>
    <t>2023-06-10T20:54:11.962Z</t>
  </si>
  <si>
    <t>2025-07-26T14:44:29.759Z</t>
  </si>
  <si>
    <t>2025-07-23T09:48:51.958Z</t>
  </si>
  <si>
    <t>2023-08-04T17:07:31.908Z</t>
  </si>
  <si>
    <t>2025-07-14T11:17:30.368Z</t>
  </si>
  <si>
    <t>2025-07-20T08:34:26.619Z</t>
  </si>
  <si>
    <t>2023-07-03T01:58:01.096Z</t>
  </si>
  <si>
    <t>2025-07-26T08:41:31.894Z</t>
  </si>
  <si>
    <t>2025-07-22T04:53:53.035Z</t>
  </si>
  <si>
    <t>2023-06-27T12:20:54.574Z</t>
  </si>
  <si>
    <t>2023-06-13T14:58:02.028Z</t>
  </si>
  <si>
    <t>2025-07-24T09:19:29.760Z</t>
  </si>
  <si>
    <t>2023-08-10T09:14:34.367Z</t>
  </si>
  <si>
    <t>2023-06-12T06:58:51.022Z</t>
  </si>
  <si>
    <t>2025-07-25T14:10:14.548Z</t>
  </si>
  <si>
    <t>2023-08-22T18:18:00.136Z</t>
  </si>
  <si>
    <t>2025-07-21T10:00:41.574Z</t>
  </si>
  <si>
    <t>2023-06-08T23:45:27.071Z</t>
  </si>
  <si>
    <t>2023-08-09T02:13:59.174Z</t>
  </si>
  <si>
    <t>2025-07-25T08:34:20.027Z</t>
  </si>
  <si>
    <t>2023-07-06T06:26:39.021Z</t>
  </si>
  <si>
    <t>2023-06-13T14:45:43.344Z</t>
  </si>
  <si>
    <t>2023-08-13T23:06:56.976Z</t>
  </si>
  <si>
    <t>2025-07-25T14:26:13.314Z</t>
  </si>
  <si>
    <t>2023-07-05T16:12:41.849Z</t>
  </si>
  <si>
    <t>2023-06-03T10:49:54.373Z</t>
  </si>
  <si>
    <t>2023-08-13T15:14:27.149Z</t>
  </si>
  <si>
    <t>2025-07-26T14:24:19.574Z</t>
  </si>
  <si>
    <t>2023-07-26T08:14:06.609Z</t>
  </si>
  <si>
    <t>2025-07-21T04:31:06.117Z</t>
  </si>
  <si>
    <t>2023-07-05T02:27:18.057Z</t>
  </si>
  <si>
    <t>2023-07-05T02:30:43.591Z</t>
  </si>
  <si>
    <t>2025-07-19T12:45:28.809Z</t>
  </si>
  <si>
    <t>AWI-CM-1-1-MR.r1i1p1f1</t>
  </si>
  <si>
    <t>MRI-ESM2-0.r1i1p1f1</t>
  </si>
  <si>
    <t>CESM2-LENS.r4i1p1f1</t>
  </si>
  <si>
    <t>CanESM5.r1i1p1f1</t>
  </si>
  <si>
    <t>ACCESS-CM2.r1i1p1f1</t>
  </si>
  <si>
    <t>ACCESS-ESM1-5.r1i1p1f1</t>
  </si>
  <si>
    <t>MRI-ESM2-0.r5i1p1f1</t>
  </si>
  <si>
    <t>TaiESM1.r1i1p1f1</t>
  </si>
  <si>
    <t>CNRM-ESM2-1.r1i1p1f2</t>
  </si>
  <si>
    <t>CNRM-CM6-1.r1i1p1f2</t>
  </si>
  <si>
    <t>BCC-CSM2-MR.r1i1p1f1</t>
  </si>
  <si>
    <t>AWI-CM-1-1-MR.r4i1p1f1</t>
  </si>
  <si>
    <t>MPI-ESM1-2-LR.r8i1p1f1</t>
  </si>
  <si>
    <t>CanESM5.r6i1p1f1</t>
  </si>
  <si>
    <t>CESM2-LENS.r7i1p1f1</t>
  </si>
  <si>
    <t>ACCESS-ESM1-5.r2i1p1f1</t>
  </si>
  <si>
    <t>ACCESS-CM2.r2i1p1f1</t>
  </si>
  <si>
    <t>MRI-ESM2-0.r2i1p1f1</t>
  </si>
  <si>
    <t>MPI-ESM1-2-LR.r1i1p1f1</t>
  </si>
  <si>
    <t>NorESM2-MM.r1i1p1f1</t>
  </si>
  <si>
    <t>NorESM2-LM.r1i1p1f1</t>
  </si>
  <si>
    <t>CESM2-LENS.r1i1p1f1</t>
  </si>
  <si>
    <t>EC-Earth3-Veg.r1i1p1f1</t>
  </si>
  <si>
    <t>CanESM5.r4i1p1f1</t>
  </si>
  <si>
    <t>AWI-CM-1-1-MR.r2i1p1f1</t>
  </si>
  <si>
    <t>CESM2-LENS.r6i1p1f1</t>
  </si>
  <si>
    <t>ACCESS-CM2.r3i1p1f1</t>
  </si>
  <si>
    <t>ACCESS-ESM1-5.r5i1p1f1</t>
  </si>
  <si>
    <t>MPI-ESM1-2-LR.r3i1p1f1</t>
  </si>
  <si>
    <t>r1i1p1f1</t>
  </si>
  <si>
    <t>r4i1p1f1</t>
  </si>
  <si>
    <t>r1i1p1f2</t>
  </si>
  <si>
    <t>r3i1p1f1</t>
  </si>
  <si>
    <t>r2i1p1f1</t>
  </si>
  <si>
    <t>r10i1p1f1</t>
  </si>
  <si>
    <t>r5i1p1f1</t>
  </si>
  <si>
    <t>EC-Earth3-Veg.r4i1p1f1</t>
  </si>
  <si>
    <t>FGOALS-g3.r3i1p1f1</t>
  </si>
  <si>
    <t>GFDL-ESM4.r1i1p1f1</t>
  </si>
  <si>
    <t>INM-CM4-8.r1i1p1f1</t>
  </si>
  <si>
    <t>INM-CM5-0.r4i1p1f1</t>
  </si>
  <si>
    <t>IPSL-CM6A-LR.r3i1p1f1</t>
  </si>
  <si>
    <t>KACE-1-0-G.r2i1p1f1</t>
  </si>
  <si>
    <t>MIROC6.r1i1p1f1</t>
  </si>
  <si>
    <t>MPI-ESM1-2-HR.r10i1p1f1</t>
  </si>
  <si>
    <t>MPI-ESM1-2-LR.r10i1p1f1</t>
  </si>
  <si>
    <t>r3i1p1f3</t>
  </si>
  <si>
    <t>r2i1p1f3</t>
  </si>
  <si>
    <t>CNRM-CM6-1-HR.r1i1p1f2</t>
  </si>
  <si>
    <t>GFDL-CM4.r1i1p1f1</t>
  </si>
  <si>
    <t>HadGEM3-GC31-LL.r3i1p1f3</t>
  </si>
  <si>
    <t>HadGEM3-GC31-MM.r2i1p1f3</t>
  </si>
  <si>
    <t>NAME</t>
  </si>
  <si>
    <t>SIZE</t>
  </si>
  <si>
    <t>ISODATE</t>
  </si>
  <si>
    <t>EC-Earth3-Veg.r3i1p1f1</t>
  </si>
  <si>
    <t>EC-Earth3.r1i1p1f1</t>
  </si>
  <si>
    <t>EC-Earth3.r4i1p1f1</t>
  </si>
  <si>
    <t>FGOALS-g3.r1i1p1f1</t>
  </si>
  <si>
    <t>FGOALS-g3.r4i1p1f1</t>
  </si>
  <si>
    <t>INM-CM5-0.r1i1p1f1</t>
  </si>
  <si>
    <t>INM-CM5-0.r3i1p1f1</t>
  </si>
  <si>
    <t>IPSL-CM6A-LR.r1i1p1f1</t>
  </si>
  <si>
    <t>IPSL-CM6A-LR.r2i1p1f1</t>
  </si>
  <si>
    <t>IPSL-CM6A-LR.r8i1p1f1</t>
  </si>
  <si>
    <t>KACE-1-0-G.r1i1p1f1</t>
  </si>
  <si>
    <t>KACE-1-0-G.r3i1p1f1</t>
  </si>
  <si>
    <t>MIROC6.r2i1p1f1</t>
  </si>
  <si>
    <t>MIROC6.r3i1p1f1</t>
  </si>
  <si>
    <t>MPI-ESM1-2-HR.r1i1p1f1</t>
  </si>
  <si>
    <t>MPI-ESM1-2-HR.r2i1p1f1</t>
  </si>
  <si>
    <t>MPI-ESM1-2-HR.r6i1p1f1</t>
  </si>
  <si>
    <t>RCP</t>
  </si>
  <si>
    <t>EC-Earth3.r3i1p1f1</t>
  </si>
  <si>
    <t>HadGEM3-GC31-LL.r1i1p1f3</t>
  </si>
  <si>
    <t>HadGEM3-GC31-LL.r2i1p1f3</t>
  </si>
  <si>
    <t>HadGEM3-GC31-MM.r1i1p1f3</t>
  </si>
  <si>
    <t>NAMES</t>
  </si>
  <si>
    <t>EC-Earth3-Veg.r5i1p1f1</t>
  </si>
  <si>
    <t>EC-Earth3.r2i1p1f1</t>
  </si>
  <si>
    <t>NorESM2-LM.r2i1p1f1</t>
  </si>
  <si>
    <t>NorESM2-LM.r3i1p1f1</t>
  </si>
  <si>
    <t>NorESM2-MM.r2i1p1f1</t>
  </si>
  <si>
    <t>Model_Member</t>
  </si>
  <si>
    <t>Model</t>
  </si>
  <si>
    <t>Member</t>
  </si>
  <si>
    <t>Var</t>
  </si>
  <si>
    <t>Season</t>
  </si>
  <si>
    <t>Stat</t>
  </si>
  <si>
    <t>NetError</t>
  </si>
  <si>
    <t>Rank</t>
  </si>
  <si>
    <t>historical</t>
  </si>
  <si>
    <t>ssp245</t>
  </si>
  <si>
    <t>ssp370</t>
  </si>
  <si>
    <t>ssp585</t>
  </si>
  <si>
    <t>All</t>
  </si>
  <si>
    <t>Annual</t>
  </si>
  <si>
    <t>Both</t>
  </si>
  <si>
    <t>r1i1p1f3</t>
  </si>
  <si>
    <t>r6i1p1f1</t>
  </si>
  <si>
    <t>r7i1p1f1</t>
  </si>
  <si>
    <t>r8i1p1f1</t>
  </si>
  <si>
    <t>Have  H</t>
  </si>
  <si>
    <t>Have 4</t>
  </si>
  <si>
    <t>Have 7</t>
  </si>
  <si>
    <t>Have 8</t>
  </si>
  <si>
    <t>Mmem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</si>
</sst>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2554"/>
      <name val="Open Sans"/>
      <family val="2"/>
    </font>
    <font>
      <sz val="10"/>
      <color rgb="FF002554"/>
      <name val="Arial Unicode MS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0" fillId="0" borderId="0" xfId="0" applyFill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776F-1F2E-7A4D-ACB9-71AD7D202C80}">
  <dimension ref="A1:D70"/>
  <sheetViews>
    <sheetView zoomScale="125" zoomScaleNormal="125" workbookViewId="0">
      <selection activeCell="C32" sqref="C32"/>
    </sheetView>
  </sheetViews>
  <sheetFormatPr baseColWidth="10" defaultRowHeight="16" x14ac:dyDescent="0.2"/>
  <cols>
    <col min="1" max="1" width="25.83203125" bestFit="1" customWidth="1"/>
    <col min="2" max="2" width="7.5" style="5" bestFit="1" customWidth="1"/>
    <col min="3" max="3" width="23" bestFit="1" customWidth="1"/>
    <col min="4" max="4" width="7.1640625" bestFit="1" customWidth="1"/>
  </cols>
  <sheetData>
    <row r="1" spans="1:4" ht="17" x14ac:dyDescent="0.25">
      <c r="A1" s="1" t="s">
        <v>302</v>
      </c>
      <c r="B1" s="3" t="s">
        <v>303</v>
      </c>
      <c r="C1" t="s">
        <v>304</v>
      </c>
      <c r="D1" t="s">
        <v>322</v>
      </c>
    </row>
    <row r="2" spans="1:4" ht="17" x14ac:dyDescent="0.25">
      <c r="A2" s="4" t="s">
        <v>254</v>
      </c>
      <c r="B2" s="1">
        <v>16.899999999999999</v>
      </c>
      <c r="C2" s="3" t="s">
        <v>0</v>
      </c>
      <c r="D2">
        <v>0</v>
      </c>
    </row>
    <row r="3" spans="1:4" ht="17" x14ac:dyDescent="0.25">
      <c r="A3" s="4" t="s">
        <v>266</v>
      </c>
      <c r="B3" s="1">
        <v>15.09</v>
      </c>
      <c r="C3" s="3" t="s">
        <v>1</v>
      </c>
      <c r="D3">
        <v>0</v>
      </c>
    </row>
    <row r="4" spans="1:4" ht="17" x14ac:dyDescent="0.25">
      <c r="A4" s="4" t="s">
        <v>276</v>
      </c>
      <c r="B4" s="1">
        <v>15.31</v>
      </c>
      <c r="C4" s="3" t="s">
        <v>2</v>
      </c>
      <c r="D4">
        <v>0</v>
      </c>
    </row>
    <row r="5" spans="1:4" ht="17" x14ac:dyDescent="0.25">
      <c r="A5" s="4" t="s">
        <v>255</v>
      </c>
      <c r="B5" s="1">
        <v>16.920000000000002</v>
      </c>
      <c r="C5" s="3" t="s">
        <v>3</v>
      </c>
      <c r="D5">
        <v>0</v>
      </c>
    </row>
    <row r="6" spans="1:4" ht="17" x14ac:dyDescent="0.25">
      <c r="A6" s="4" t="s">
        <v>265</v>
      </c>
      <c r="B6" s="1">
        <v>15.1</v>
      </c>
      <c r="C6" s="3" t="s">
        <v>4</v>
      </c>
      <c r="D6">
        <v>0</v>
      </c>
    </row>
    <row r="7" spans="1:4" ht="17" x14ac:dyDescent="0.25">
      <c r="A7" s="4" t="s">
        <v>277</v>
      </c>
      <c r="B7" s="1">
        <v>15.31</v>
      </c>
      <c r="C7" s="3" t="s">
        <v>5</v>
      </c>
      <c r="D7">
        <v>0</v>
      </c>
    </row>
    <row r="8" spans="1:4" ht="17" x14ac:dyDescent="0.25">
      <c r="A8" s="4" t="s">
        <v>250</v>
      </c>
      <c r="B8" s="1">
        <v>16.91</v>
      </c>
      <c r="C8" s="3" t="s">
        <v>6</v>
      </c>
      <c r="D8">
        <v>0</v>
      </c>
    </row>
    <row r="9" spans="1:4" ht="17" x14ac:dyDescent="0.25">
      <c r="A9" s="4" t="s">
        <v>274</v>
      </c>
      <c r="B9" s="1">
        <v>15.29</v>
      </c>
      <c r="C9" s="3" t="s">
        <v>7</v>
      </c>
      <c r="D9">
        <v>0</v>
      </c>
    </row>
    <row r="10" spans="1:4" ht="17" x14ac:dyDescent="0.25">
      <c r="A10" s="4" t="s">
        <v>261</v>
      </c>
      <c r="B10" s="1">
        <v>15.11</v>
      </c>
      <c r="C10" s="3" t="s">
        <v>8</v>
      </c>
      <c r="D10">
        <v>0</v>
      </c>
    </row>
    <row r="11" spans="1:4" ht="17" x14ac:dyDescent="0.25">
      <c r="A11" s="4" t="s">
        <v>260</v>
      </c>
      <c r="B11" s="1">
        <v>16.940000000000001</v>
      </c>
      <c r="C11" s="3" t="s">
        <v>9</v>
      </c>
      <c r="D11">
        <v>0</v>
      </c>
    </row>
    <row r="12" spans="1:4" ht="17" x14ac:dyDescent="0.25">
      <c r="A12" s="4" t="s">
        <v>271</v>
      </c>
      <c r="B12" s="1">
        <v>15.21</v>
      </c>
      <c r="C12" s="3" t="s">
        <v>10</v>
      </c>
      <c r="D12">
        <v>0</v>
      </c>
    </row>
    <row r="13" spans="1:4" ht="17" x14ac:dyDescent="0.25">
      <c r="A13" s="4" t="s">
        <v>252</v>
      </c>
      <c r="B13" s="1">
        <v>16.84</v>
      </c>
      <c r="C13" s="3" t="s">
        <v>11</v>
      </c>
      <c r="D13">
        <v>0</v>
      </c>
    </row>
    <row r="14" spans="1:4" ht="17" x14ac:dyDescent="0.25">
      <c r="A14" s="4" t="s">
        <v>275</v>
      </c>
      <c r="B14" s="1">
        <v>15.22</v>
      </c>
      <c r="C14" s="3" t="s">
        <v>12</v>
      </c>
      <c r="D14">
        <v>0</v>
      </c>
    </row>
    <row r="15" spans="1:4" ht="17" x14ac:dyDescent="0.25">
      <c r="A15" s="4" t="s">
        <v>264</v>
      </c>
      <c r="B15" s="1">
        <v>15</v>
      </c>
      <c r="C15" s="3" t="s">
        <v>13</v>
      </c>
      <c r="D15">
        <v>0</v>
      </c>
    </row>
    <row r="16" spans="1:4" ht="17" x14ac:dyDescent="0.25">
      <c r="A16" s="4" t="s">
        <v>298</v>
      </c>
      <c r="B16" s="1">
        <v>16.940000000000001</v>
      </c>
      <c r="C16" s="3" t="s">
        <v>14</v>
      </c>
      <c r="D16">
        <v>0</v>
      </c>
    </row>
    <row r="17" spans="1:4" ht="17" x14ac:dyDescent="0.25">
      <c r="A17" s="4" t="s">
        <v>259</v>
      </c>
      <c r="B17" s="1">
        <v>16.88</v>
      </c>
      <c r="C17" s="3" t="s">
        <v>15</v>
      </c>
      <c r="D17">
        <v>0</v>
      </c>
    </row>
    <row r="18" spans="1:4" ht="17" x14ac:dyDescent="0.25">
      <c r="A18" s="4" t="s">
        <v>258</v>
      </c>
      <c r="B18" s="1">
        <v>16.87</v>
      </c>
      <c r="C18" s="3" t="s">
        <v>16</v>
      </c>
      <c r="D18">
        <v>0</v>
      </c>
    </row>
    <row r="19" spans="1:4" ht="17" x14ac:dyDescent="0.25">
      <c r="A19" s="4" t="s">
        <v>253</v>
      </c>
      <c r="B19" s="1">
        <v>16.989999999999998</v>
      </c>
      <c r="C19" s="3" t="s">
        <v>17</v>
      </c>
      <c r="D19">
        <v>0</v>
      </c>
    </row>
    <row r="20" spans="1:4" ht="17" x14ac:dyDescent="0.25">
      <c r="A20" s="4" t="s">
        <v>273</v>
      </c>
      <c r="B20" s="1">
        <v>15.38</v>
      </c>
      <c r="C20" s="3" t="s">
        <v>18</v>
      </c>
      <c r="D20">
        <v>0</v>
      </c>
    </row>
    <row r="21" spans="1:4" ht="17" x14ac:dyDescent="0.25">
      <c r="A21" s="4" t="s">
        <v>263</v>
      </c>
      <c r="B21" s="1">
        <v>15.16</v>
      </c>
      <c r="C21" s="3" t="s">
        <v>19</v>
      </c>
      <c r="D21">
        <v>0</v>
      </c>
    </row>
    <row r="22" spans="1:4" ht="17" x14ac:dyDescent="0.25">
      <c r="A22" s="4" t="s">
        <v>272</v>
      </c>
      <c r="B22" s="1">
        <v>15.04</v>
      </c>
      <c r="C22" s="3" t="s">
        <v>20</v>
      </c>
      <c r="D22">
        <v>0</v>
      </c>
    </row>
    <row r="23" spans="1:4" ht="17" x14ac:dyDescent="0.25">
      <c r="A23" s="4" t="s">
        <v>305</v>
      </c>
      <c r="B23" s="1">
        <v>15.29</v>
      </c>
      <c r="C23" s="3" t="s">
        <v>21</v>
      </c>
      <c r="D23">
        <v>0</v>
      </c>
    </row>
    <row r="24" spans="1:4" ht="17" x14ac:dyDescent="0.25">
      <c r="A24" s="4" t="s">
        <v>286</v>
      </c>
      <c r="B24" s="1">
        <v>16.899999999999999</v>
      </c>
      <c r="C24" s="3" t="s">
        <v>22</v>
      </c>
      <c r="D24">
        <v>0</v>
      </c>
    </row>
    <row r="25" spans="1:4" ht="17" x14ac:dyDescent="0.25">
      <c r="A25" s="4" t="s">
        <v>328</v>
      </c>
      <c r="B25" s="1">
        <v>15.06</v>
      </c>
      <c r="C25" s="3" t="s">
        <v>23</v>
      </c>
      <c r="D25">
        <v>0</v>
      </c>
    </row>
    <row r="26" spans="1:4" ht="17" x14ac:dyDescent="0.25">
      <c r="A26" s="4" t="s">
        <v>306</v>
      </c>
      <c r="B26" s="1">
        <v>15.3</v>
      </c>
      <c r="C26" s="3" t="s">
        <v>24</v>
      </c>
      <c r="D26">
        <v>0</v>
      </c>
    </row>
    <row r="27" spans="1:4" ht="17" x14ac:dyDescent="0.25">
      <c r="A27" s="4" t="s">
        <v>329</v>
      </c>
      <c r="B27" s="1">
        <v>16.899999999999999</v>
      </c>
      <c r="C27" s="3" t="s">
        <v>25</v>
      </c>
      <c r="D27">
        <v>0</v>
      </c>
    </row>
    <row r="28" spans="1:4" ht="17" x14ac:dyDescent="0.25">
      <c r="A28" s="4" t="s">
        <v>323</v>
      </c>
      <c r="B28" s="1">
        <v>15.06</v>
      </c>
      <c r="C28" s="3" t="s">
        <v>26</v>
      </c>
      <c r="D28">
        <v>0</v>
      </c>
    </row>
    <row r="29" spans="1:4" ht="17" x14ac:dyDescent="0.25">
      <c r="A29" s="4" t="s">
        <v>307</v>
      </c>
      <c r="B29" s="1">
        <v>15.26</v>
      </c>
      <c r="C29" s="3" t="s">
        <v>27</v>
      </c>
      <c r="D29">
        <v>0</v>
      </c>
    </row>
    <row r="30" spans="1:4" ht="17" x14ac:dyDescent="0.25">
      <c r="A30" s="4" t="s">
        <v>308</v>
      </c>
      <c r="B30" s="1">
        <v>16.989999999999998</v>
      </c>
      <c r="C30" s="3" t="s">
        <v>28</v>
      </c>
      <c r="D30">
        <v>0</v>
      </c>
    </row>
    <row r="31" spans="1:4" ht="17" x14ac:dyDescent="0.25">
      <c r="A31" s="4" t="s">
        <v>287</v>
      </c>
      <c r="B31" s="1">
        <v>17</v>
      </c>
      <c r="C31" s="3" t="s">
        <v>29</v>
      </c>
      <c r="D31">
        <v>0</v>
      </c>
    </row>
    <row r="32" spans="1:4" ht="17" x14ac:dyDescent="0.25">
      <c r="A32" s="4" t="s">
        <v>309</v>
      </c>
      <c r="B32" s="1">
        <v>15.14</v>
      </c>
      <c r="C32" s="3" t="s">
        <v>30</v>
      </c>
      <c r="D32">
        <v>0</v>
      </c>
    </row>
    <row r="33" spans="1:4" ht="17" x14ac:dyDescent="0.25">
      <c r="A33" s="4" t="s">
        <v>299</v>
      </c>
      <c r="B33" s="1">
        <v>16.87</v>
      </c>
      <c r="C33" s="3" t="s">
        <v>31</v>
      </c>
      <c r="D33">
        <v>0</v>
      </c>
    </row>
    <row r="34" spans="1:4" ht="17" x14ac:dyDescent="0.25">
      <c r="A34" s="4" t="s">
        <v>288</v>
      </c>
      <c r="B34" s="1">
        <v>16.87</v>
      </c>
      <c r="C34" s="3" t="s">
        <v>32</v>
      </c>
      <c r="D34">
        <v>0</v>
      </c>
    </row>
    <row r="35" spans="1:4" ht="17" x14ac:dyDescent="0.25">
      <c r="A35" s="4" t="s">
        <v>324</v>
      </c>
      <c r="B35" s="1">
        <v>15.31</v>
      </c>
      <c r="C35" s="3" t="s">
        <v>33</v>
      </c>
      <c r="D35">
        <v>0</v>
      </c>
    </row>
    <row r="36" spans="1:4" ht="17" x14ac:dyDescent="0.25">
      <c r="A36" s="4" t="s">
        <v>325</v>
      </c>
      <c r="B36" s="1">
        <v>15.31</v>
      </c>
      <c r="C36" s="3" t="s">
        <v>34</v>
      </c>
      <c r="D36">
        <v>0</v>
      </c>
    </row>
    <row r="37" spans="1:4" ht="17" x14ac:dyDescent="0.25">
      <c r="A37" s="4" t="s">
        <v>300</v>
      </c>
      <c r="B37" s="1">
        <v>16.93</v>
      </c>
      <c r="C37" s="3" t="s">
        <v>35</v>
      </c>
      <c r="D37">
        <v>0</v>
      </c>
    </row>
    <row r="38" spans="1:4" ht="17" x14ac:dyDescent="0.25">
      <c r="A38" s="4" t="s">
        <v>326</v>
      </c>
      <c r="B38" s="1">
        <v>15.35</v>
      </c>
      <c r="C38" s="3" t="s">
        <v>36</v>
      </c>
      <c r="D38">
        <v>0</v>
      </c>
    </row>
    <row r="39" spans="1:4" ht="17" x14ac:dyDescent="0.25">
      <c r="A39" s="4" t="s">
        <v>301</v>
      </c>
      <c r="B39" s="1">
        <v>16.98</v>
      </c>
      <c r="C39" s="3" t="s">
        <v>37</v>
      </c>
      <c r="D39">
        <v>0</v>
      </c>
    </row>
    <row r="40" spans="1:4" ht="17" x14ac:dyDescent="0.25">
      <c r="A40" s="4" t="s">
        <v>289</v>
      </c>
      <c r="B40" s="1">
        <v>16.98</v>
      </c>
      <c r="C40" s="3" t="s">
        <v>38</v>
      </c>
      <c r="D40">
        <v>0</v>
      </c>
    </row>
    <row r="41" spans="1:4" ht="17" x14ac:dyDescent="0.25">
      <c r="A41" s="4" t="s">
        <v>310</v>
      </c>
      <c r="B41" s="1">
        <v>15.36</v>
      </c>
      <c r="C41" s="3" t="s">
        <v>39</v>
      </c>
      <c r="D41">
        <v>0</v>
      </c>
    </row>
    <row r="42" spans="1:4" ht="17" x14ac:dyDescent="0.25">
      <c r="A42" s="4" t="s">
        <v>311</v>
      </c>
      <c r="B42" s="1">
        <v>16.98</v>
      </c>
      <c r="C42" s="3" t="s">
        <v>40</v>
      </c>
      <c r="D42">
        <v>0</v>
      </c>
    </row>
    <row r="43" spans="1:4" ht="17" x14ac:dyDescent="0.25">
      <c r="A43" s="4" t="s">
        <v>290</v>
      </c>
      <c r="B43" s="1">
        <v>16.97</v>
      </c>
      <c r="C43" s="3" t="s">
        <v>41</v>
      </c>
      <c r="D43">
        <v>0</v>
      </c>
    </row>
    <row r="44" spans="1:4" ht="17" x14ac:dyDescent="0.25">
      <c r="A44" s="4" t="s">
        <v>312</v>
      </c>
      <c r="B44" s="1">
        <v>15.18</v>
      </c>
      <c r="C44" s="3" t="s">
        <v>42</v>
      </c>
      <c r="D44">
        <v>0</v>
      </c>
    </row>
    <row r="45" spans="1:4" ht="17" x14ac:dyDescent="0.25">
      <c r="A45" s="4" t="s">
        <v>313</v>
      </c>
      <c r="B45" s="1">
        <v>15.41</v>
      </c>
      <c r="C45" s="3" t="s">
        <v>43</v>
      </c>
      <c r="D45">
        <v>0</v>
      </c>
    </row>
    <row r="46" spans="1:4" ht="17" x14ac:dyDescent="0.25">
      <c r="A46" s="4" t="s">
        <v>291</v>
      </c>
      <c r="B46" s="1">
        <v>16.989999999999998</v>
      </c>
      <c r="C46" s="3" t="s">
        <v>44</v>
      </c>
      <c r="D46">
        <v>0</v>
      </c>
    </row>
    <row r="47" spans="1:4" ht="17" x14ac:dyDescent="0.25">
      <c r="A47" s="4" t="s">
        <v>314</v>
      </c>
      <c r="B47" s="1">
        <v>15.12</v>
      </c>
      <c r="C47" s="3" t="s">
        <v>45</v>
      </c>
      <c r="D47">
        <v>0</v>
      </c>
    </row>
    <row r="48" spans="1:4" ht="17" x14ac:dyDescent="0.25">
      <c r="A48" s="4" t="s">
        <v>315</v>
      </c>
      <c r="B48" s="1">
        <v>15.34</v>
      </c>
      <c r="C48" s="3" t="s">
        <v>46</v>
      </c>
      <c r="D48">
        <v>0</v>
      </c>
    </row>
    <row r="49" spans="1:4" ht="17" x14ac:dyDescent="0.25">
      <c r="A49" s="4" t="s">
        <v>292</v>
      </c>
      <c r="B49" s="1">
        <v>16.95</v>
      </c>
      <c r="C49" s="3" t="s">
        <v>47</v>
      </c>
      <c r="D49">
        <v>0</v>
      </c>
    </row>
    <row r="50" spans="1:4" ht="17" x14ac:dyDescent="0.25">
      <c r="A50" s="4" t="s">
        <v>316</v>
      </c>
      <c r="B50" s="1">
        <v>15.09</v>
      </c>
      <c r="C50" s="3" t="s">
        <v>48</v>
      </c>
      <c r="D50">
        <v>0</v>
      </c>
    </row>
    <row r="51" spans="1:4" ht="17" x14ac:dyDescent="0.25">
      <c r="A51" s="4" t="s">
        <v>293</v>
      </c>
      <c r="B51" s="1">
        <v>16.87</v>
      </c>
      <c r="C51" s="3" t="s">
        <v>49</v>
      </c>
      <c r="D51">
        <v>0</v>
      </c>
    </row>
    <row r="52" spans="1:4" ht="17" x14ac:dyDescent="0.25">
      <c r="A52" s="4" t="s">
        <v>317</v>
      </c>
      <c r="B52" s="1">
        <v>15.26</v>
      </c>
      <c r="C52" s="3" t="s">
        <v>50</v>
      </c>
      <c r="D52">
        <v>0</v>
      </c>
    </row>
    <row r="53" spans="1:4" ht="17" x14ac:dyDescent="0.25">
      <c r="A53" s="4" t="s">
        <v>318</v>
      </c>
      <c r="B53" s="1">
        <v>15.05</v>
      </c>
      <c r="C53" s="3" t="s">
        <v>51</v>
      </c>
      <c r="D53">
        <v>0</v>
      </c>
    </row>
    <row r="54" spans="1:4" ht="17" x14ac:dyDescent="0.25">
      <c r="A54" s="4" t="s">
        <v>294</v>
      </c>
      <c r="B54" s="1">
        <v>16.89</v>
      </c>
      <c r="C54" s="3" t="s">
        <v>52</v>
      </c>
      <c r="D54">
        <v>0</v>
      </c>
    </row>
    <row r="55" spans="1:4" ht="17" x14ac:dyDescent="0.25">
      <c r="A55" s="4" t="s">
        <v>319</v>
      </c>
      <c r="B55" s="1">
        <v>15.28</v>
      </c>
      <c r="C55" s="3" t="s">
        <v>53</v>
      </c>
      <c r="D55">
        <v>0</v>
      </c>
    </row>
    <row r="56" spans="1:4" ht="17" x14ac:dyDescent="0.25">
      <c r="A56" s="4" t="s">
        <v>320</v>
      </c>
      <c r="B56" s="1">
        <v>15.29</v>
      </c>
      <c r="C56" s="3" t="s">
        <v>54</v>
      </c>
      <c r="D56">
        <v>0</v>
      </c>
    </row>
    <row r="57" spans="1:4" ht="17" x14ac:dyDescent="0.25">
      <c r="A57" s="4" t="s">
        <v>321</v>
      </c>
      <c r="B57" s="1">
        <v>15.07</v>
      </c>
      <c r="C57" s="3" t="s">
        <v>55</v>
      </c>
      <c r="D57">
        <v>0</v>
      </c>
    </row>
    <row r="58" spans="1:4" ht="17" x14ac:dyDescent="0.25">
      <c r="A58" s="4" t="s">
        <v>295</v>
      </c>
      <c r="B58" s="1">
        <v>16.89</v>
      </c>
      <c r="C58" s="3" t="s">
        <v>56</v>
      </c>
      <c r="D58">
        <v>0</v>
      </c>
    </row>
    <row r="59" spans="1:4" ht="17" x14ac:dyDescent="0.25">
      <c r="A59" s="4" t="s">
        <v>268</v>
      </c>
      <c r="B59" s="1">
        <v>15.27</v>
      </c>
      <c r="C59" s="3" t="s">
        <v>57</v>
      </c>
      <c r="D59">
        <v>0</v>
      </c>
    </row>
    <row r="60" spans="1:4" ht="17" x14ac:dyDescent="0.25">
      <c r="A60" s="4" t="s">
        <v>278</v>
      </c>
      <c r="B60" s="1">
        <v>15.27</v>
      </c>
      <c r="C60" s="3" t="s">
        <v>58</v>
      </c>
      <c r="D60">
        <v>0</v>
      </c>
    </row>
    <row r="61" spans="1:4" ht="17" x14ac:dyDescent="0.25">
      <c r="A61" s="4" t="s">
        <v>262</v>
      </c>
      <c r="B61" s="1">
        <v>15.06</v>
      </c>
      <c r="C61" s="3" t="s">
        <v>59</v>
      </c>
      <c r="D61">
        <v>0</v>
      </c>
    </row>
    <row r="62" spans="1:4" ht="17" x14ac:dyDescent="0.25">
      <c r="A62" s="4" t="s">
        <v>251</v>
      </c>
      <c r="B62" s="1">
        <v>16.84</v>
      </c>
      <c r="C62" s="3" t="s">
        <v>60</v>
      </c>
      <c r="D62">
        <v>0</v>
      </c>
    </row>
    <row r="63" spans="1:4" ht="17" x14ac:dyDescent="0.25">
      <c r="A63" s="4" t="s">
        <v>267</v>
      </c>
      <c r="B63" s="1">
        <v>15.04</v>
      </c>
      <c r="C63" s="3" t="s">
        <v>61</v>
      </c>
      <c r="D63">
        <v>0</v>
      </c>
    </row>
    <row r="64" spans="1:4" ht="17" x14ac:dyDescent="0.25">
      <c r="A64" s="4" t="s">
        <v>256</v>
      </c>
      <c r="B64" s="1">
        <v>16.86</v>
      </c>
      <c r="C64" s="3" t="s">
        <v>62</v>
      </c>
      <c r="D64">
        <v>0</v>
      </c>
    </row>
    <row r="65" spans="1:4" ht="17" x14ac:dyDescent="0.25">
      <c r="A65" s="4" t="s">
        <v>270</v>
      </c>
      <c r="B65" s="1">
        <v>15.23</v>
      </c>
      <c r="C65" s="3" t="s">
        <v>63</v>
      </c>
      <c r="D65">
        <v>0</v>
      </c>
    </row>
    <row r="66" spans="1:4" ht="17" x14ac:dyDescent="0.25">
      <c r="A66" s="4" t="s">
        <v>330</v>
      </c>
      <c r="B66" s="1">
        <v>16.84</v>
      </c>
      <c r="C66" s="3" t="s">
        <v>64</v>
      </c>
      <c r="D66">
        <v>0</v>
      </c>
    </row>
    <row r="67" spans="1:4" ht="17" x14ac:dyDescent="0.25">
      <c r="A67" s="4" t="s">
        <v>331</v>
      </c>
      <c r="B67" s="1">
        <v>15.21</v>
      </c>
      <c r="C67" s="3" t="s">
        <v>65</v>
      </c>
      <c r="D67">
        <v>0</v>
      </c>
    </row>
    <row r="68" spans="1:4" ht="17" x14ac:dyDescent="0.25">
      <c r="A68" s="4" t="s">
        <v>269</v>
      </c>
      <c r="B68" s="1">
        <v>14.99</v>
      </c>
      <c r="C68" s="3" t="s">
        <v>66</v>
      </c>
      <c r="D68">
        <v>0</v>
      </c>
    </row>
    <row r="69" spans="1:4" ht="17" x14ac:dyDescent="0.25">
      <c r="A69" s="4" t="s">
        <v>332</v>
      </c>
      <c r="B69" s="1">
        <v>16.87</v>
      </c>
      <c r="C69" s="3" t="s">
        <v>67</v>
      </c>
      <c r="D69">
        <v>0</v>
      </c>
    </row>
    <row r="70" spans="1:4" ht="17" x14ac:dyDescent="0.25">
      <c r="A70" s="4" t="s">
        <v>257</v>
      </c>
      <c r="B70" s="1">
        <v>16.88</v>
      </c>
      <c r="C70" s="3" t="s">
        <v>68</v>
      </c>
      <c r="D70">
        <v>0</v>
      </c>
    </row>
  </sheetData>
  <autoFilter ref="A1:D1" xr:uid="{B2A9776F-1F2E-7A4D-ACB9-71AD7D202C80}"/>
  <sortState xmlns:xlrd2="http://schemas.microsoft.com/office/spreadsheetml/2017/richdata2" ref="B2:D71">
    <sortCondition ref="D2:D71"/>
    <sortCondition ref="B2:B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CEA4-10D2-E04A-9EB0-8915A1D0DCC5}">
  <dimension ref="A1:D50"/>
  <sheetViews>
    <sheetView zoomScale="125" zoomScaleNormal="125" workbookViewId="0">
      <selection activeCell="H19" sqref="H19"/>
    </sheetView>
  </sheetViews>
  <sheetFormatPr baseColWidth="10" defaultRowHeight="16" x14ac:dyDescent="0.2"/>
  <cols>
    <col min="1" max="1" width="22.1640625" bestFit="1" customWidth="1"/>
    <col min="2" max="2" width="7.5" bestFit="1" customWidth="1"/>
    <col min="3" max="3" width="23" bestFit="1" customWidth="1"/>
    <col min="4" max="4" width="7.1640625" bestFit="1" customWidth="1"/>
  </cols>
  <sheetData>
    <row r="1" spans="1:4" ht="17" x14ac:dyDescent="0.25">
      <c r="A1" s="1" t="s">
        <v>302</v>
      </c>
      <c r="B1" s="3" t="s">
        <v>303</v>
      </c>
      <c r="C1" t="s">
        <v>304</v>
      </c>
      <c r="D1" t="s">
        <v>322</v>
      </c>
    </row>
    <row r="2" spans="1:4" ht="17" x14ac:dyDescent="0.25">
      <c r="A2" s="4" t="s">
        <v>254</v>
      </c>
      <c r="B2" s="1">
        <v>22.45</v>
      </c>
      <c r="C2" s="3" t="s">
        <v>69</v>
      </c>
      <c r="D2">
        <v>4</v>
      </c>
    </row>
    <row r="3" spans="1:4" ht="17" x14ac:dyDescent="0.25">
      <c r="A3" s="4" t="s">
        <v>266</v>
      </c>
      <c r="B3" s="1">
        <v>20.07</v>
      </c>
      <c r="C3" s="3" t="s">
        <v>70</v>
      </c>
      <c r="D3">
        <v>4</v>
      </c>
    </row>
    <row r="4" spans="1:4" ht="17" x14ac:dyDescent="0.25">
      <c r="A4" s="4" t="s">
        <v>276</v>
      </c>
      <c r="B4" s="1">
        <v>20.36</v>
      </c>
      <c r="C4" s="3" t="s">
        <v>71</v>
      </c>
      <c r="D4">
        <v>4</v>
      </c>
    </row>
    <row r="5" spans="1:4" ht="17" x14ac:dyDescent="0.25">
      <c r="A5" s="4" t="s">
        <v>255</v>
      </c>
      <c r="B5" s="1">
        <v>22.44</v>
      </c>
      <c r="C5" s="3" t="s">
        <v>72</v>
      </c>
      <c r="D5">
        <v>4</v>
      </c>
    </row>
    <row r="6" spans="1:4" ht="17" x14ac:dyDescent="0.25">
      <c r="A6" s="4" t="s">
        <v>265</v>
      </c>
      <c r="B6" s="1">
        <v>20.02</v>
      </c>
      <c r="C6" s="3" t="s">
        <v>73</v>
      </c>
      <c r="D6">
        <v>4</v>
      </c>
    </row>
    <row r="7" spans="1:4" ht="17" x14ac:dyDescent="0.25">
      <c r="A7" s="4" t="s">
        <v>277</v>
      </c>
      <c r="B7" s="1">
        <v>20.309999999999999</v>
      </c>
      <c r="C7" s="3" t="s">
        <v>74</v>
      </c>
      <c r="D7">
        <v>4</v>
      </c>
    </row>
    <row r="8" spans="1:4" ht="17" x14ac:dyDescent="0.25">
      <c r="A8" s="4" t="s">
        <v>250</v>
      </c>
      <c r="B8" s="1">
        <v>22.29</v>
      </c>
      <c r="C8" s="3" t="s">
        <v>75</v>
      </c>
      <c r="D8">
        <v>4</v>
      </c>
    </row>
    <row r="9" spans="1:4" ht="17" x14ac:dyDescent="0.25">
      <c r="A9" s="4" t="s">
        <v>260</v>
      </c>
      <c r="B9" s="1">
        <v>22.51</v>
      </c>
      <c r="C9" s="3" t="s">
        <v>76</v>
      </c>
      <c r="D9">
        <v>4</v>
      </c>
    </row>
    <row r="10" spans="1:4" ht="17" x14ac:dyDescent="0.25">
      <c r="A10" s="4" t="s">
        <v>259</v>
      </c>
      <c r="B10" s="1">
        <v>22.37</v>
      </c>
      <c r="C10" s="3" t="s">
        <v>77</v>
      </c>
      <c r="D10">
        <v>4</v>
      </c>
    </row>
    <row r="11" spans="1:4" ht="17" x14ac:dyDescent="0.25">
      <c r="A11" s="4" t="s">
        <v>258</v>
      </c>
      <c r="B11" s="1">
        <v>22.34</v>
      </c>
      <c r="C11" s="3" t="s">
        <v>78</v>
      </c>
      <c r="D11">
        <v>4</v>
      </c>
    </row>
    <row r="12" spans="1:4" ht="17" x14ac:dyDescent="0.25">
      <c r="A12" s="4" t="s">
        <v>253</v>
      </c>
      <c r="B12" s="1">
        <v>22.55</v>
      </c>
      <c r="C12" s="3" t="s">
        <v>79</v>
      </c>
      <c r="D12">
        <v>4</v>
      </c>
    </row>
    <row r="13" spans="1:4" ht="17" x14ac:dyDescent="0.25">
      <c r="A13" s="4" t="s">
        <v>273</v>
      </c>
      <c r="B13" s="1">
        <v>20.440000000000001</v>
      </c>
      <c r="C13" s="3" t="s">
        <v>80</v>
      </c>
      <c r="D13">
        <v>4</v>
      </c>
    </row>
    <row r="14" spans="1:4" ht="17" x14ac:dyDescent="0.25">
      <c r="A14" s="4" t="s">
        <v>263</v>
      </c>
      <c r="B14" s="1">
        <v>20.12</v>
      </c>
      <c r="C14" s="3" t="s">
        <v>81</v>
      </c>
      <c r="D14">
        <v>4</v>
      </c>
    </row>
    <row r="15" spans="1:4" ht="17" x14ac:dyDescent="0.25">
      <c r="A15" s="4" t="s">
        <v>272</v>
      </c>
      <c r="B15" s="1">
        <v>20.260000000000002</v>
      </c>
      <c r="C15" s="3" t="s">
        <v>82</v>
      </c>
      <c r="D15">
        <v>4</v>
      </c>
    </row>
    <row r="16" spans="1:4" ht="17" x14ac:dyDescent="0.25">
      <c r="A16" s="4" t="s">
        <v>305</v>
      </c>
      <c r="B16" s="1">
        <v>20.260000000000002</v>
      </c>
      <c r="C16" s="3" t="s">
        <v>83</v>
      </c>
      <c r="D16">
        <v>4</v>
      </c>
    </row>
    <row r="17" spans="1:4" ht="17" x14ac:dyDescent="0.25">
      <c r="A17" s="4" t="s">
        <v>286</v>
      </c>
      <c r="B17" s="1">
        <v>22.38</v>
      </c>
      <c r="C17" s="3" t="s">
        <v>84</v>
      </c>
      <c r="D17">
        <v>4</v>
      </c>
    </row>
    <row r="18" spans="1:4" ht="17" x14ac:dyDescent="0.25">
      <c r="A18" s="4" t="s">
        <v>328</v>
      </c>
      <c r="B18" s="1">
        <v>19.97</v>
      </c>
      <c r="C18" s="3" t="s">
        <v>85</v>
      </c>
      <c r="D18">
        <v>4</v>
      </c>
    </row>
    <row r="19" spans="1:4" ht="17" x14ac:dyDescent="0.25">
      <c r="A19" s="4" t="s">
        <v>306</v>
      </c>
      <c r="B19" s="1">
        <v>20.28</v>
      </c>
      <c r="C19" s="3" t="s">
        <v>86</v>
      </c>
      <c r="D19">
        <v>4</v>
      </c>
    </row>
    <row r="20" spans="1:4" ht="17" x14ac:dyDescent="0.25">
      <c r="A20" s="4" t="s">
        <v>329</v>
      </c>
      <c r="B20" s="1">
        <v>22.38</v>
      </c>
      <c r="C20" s="3" t="s">
        <v>87</v>
      </c>
      <c r="D20">
        <v>4</v>
      </c>
    </row>
    <row r="21" spans="1:4" ht="17" x14ac:dyDescent="0.25">
      <c r="A21" s="4" t="s">
        <v>307</v>
      </c>
      <c r="B21" s="1">
        <v>20.260000000000002</v>
      </c>
      <c r="C21" s="3" t="s">
        <v>88</v>
      </c>
      <c r="D21">
        <v>4</v>
      </c>
    </row>
    <row r="22" spans="1:4" ht="17" x14ac:dyDescent="0.25">
      <c r="A22" s="4" t="s">
        <v>308</v>
      </c>
      <c r="B22" s="1">
        <v>22.55</v>
      </c>
      <c r="C22" s="3" t="s">
        <v>89</v>
      </c>
      <c r="D22">
        <v>4</v>
      </c>
    </row>
    <row r="23" spans="1:4" ht="17" x14ac:dyDescent="0.25">
      <c r="A23" s="4" t="s">
        <v>287</v>
      </c>
      <c r="B23" s="1">
        <v>22.52</v>
      </c>
      <c r="C23" s="3" t="s">
        <v>90</v>
      </c>
      <c r="D23">
        <v>4</v>
      </c>
    </row>
    <row r="24" spans="1:4" ht="17" x14ac:dyDescent="0.25">
      <c r="A24" s="4" t="s">
        <v>309</v>
      </c>
      <c r="B24" s="1">
        <v>20.100000000000001</v>
      </c>
      <c r="C24" s="3" t="s">
        <v>91</v>
      </c>
      <c r="D24">
        <v>4</v>
      </c>
    </row>
    <row r="25" spans="1:4" ht="17" x14ac:dyDescent="0.25">
      <c r="A25" s="4" t="s">
        <v>299</v>
      </c>
      <c r="B25" s="1">
        <v>22.39</v>
      </c>
      <c r="C25" s="3" t="s">
        <v>92</v>
      </c>
      <c r="D25">
        <v>4</v>
      </c>
    </row>
    <row r="26" spans="1:4" ht="17" x14ac:dyDescent="0.25">
      <c r="A26" s="4" t="s">
        <v>288</v>
      </c>
      <c r="B26" s="1">
        <v>22.36</v>
      </c>
      <c r="C26" s="3" t="s">
        <v>93</v>
      </c>
      <c r="D26">
        <v>4</v>
      </c>
    </row>
    <row r="27" spans="1:4" ht="17" x14ac:dyDescent="0.25">
      <c r="A27" s="4" t="s">
        <v>289</v>
      </c>
      <c r="B27" s="1">
        <v>22.54</v>
      </c>
      <c r="C27" s="3" t="s">
        <v>94</v>
      </c>
      <c r="D27">
        <v>4</v>
      </c>
    </row>
    <row r="28" spans="1:4" ht="17" x14ac:dyDescent="0.25">
      <c r="A28" s="4" t="s">
        <v>310</v>
      </c>
      <c r="B28" s="1">
        <v>20.38</v>
      </c>
      <c r="C28" s="3" t="s">
        <v>95</v>
      </c>
      <c r="D28">
        <v>4</v>
      </c>
    </row>
    <row r="29" spans="1:4" ht="17" x14ac:dyDescent="0.25">
      <c r="A29" s="4" t="s">
        <v>312</v>
      </c>
      <c r="B29" s="1">
        <v>20.41</v>
      </c>
      <c r="C29" s="3" t="s">
        <v>96</v>
      </c>
      <c r="D29">
        <v>4</v>
      </c>
    </row>
    <row r="30" spans="1:4" ht="17" x14ac:dyDescent="0.25">
      <c r="A30" s="4" t="s">
        <v>313</v>
      </c>
      <c r="B30" s="1">
        <v>20.48</v>
      </c>
      <c r="C30" s="3" t="s">
        <v>97</v>
      </c>
      <c r="D30">
        <v>4</v>
      </c>
    </row>
    <row r="31" spans="1:4" ht="17" x14ac:dyDescent="0.25">
      <c r="A31" s="4" t="s">
        <v>291</v>
      </c>
      <c r="B31" s="1">
        <v>22.43</v>
      </c>
      <c r="C31" s="3" t="s">
        <v>98</v>
      </c>
      <c r="D31">
        <v>4</v>
      </c>
    </row>
    <row r="32" spans="1:4" ht="17" x14ac:dyDescent="0.25">
      <c r="A32" s="4" t="s">
        <v>315</v>
      </c>
      <c r="B32" s="1">
        <v>20.38</v>
      </c>
      <c r="C32" s="3" t="s">
        <v>99</v>
      </c>
      <c r="D32">
        <v>4</v>
      </c>
    </row>
    <row r="33" spans="1:4" ht="17" x14ac:dyDescent="0.25">
      <c r="A33" s="4" t="s">
        <v>292</v>
      </c>
      <c r="B33" s="1">
        <v>22.48</v>
      </c>
      <c r="C33" s="3" t="s">
        <v>100</v>
      </c>
      <c r="D33">
        <v>4</v>
      </c>
    </row>
    <row r="34" spans="1:4" ht="17" x14ac:dyDescent="0.25">
      <c r="A34" s="4" t="s">
        <v>316</v>
      </c>
      <c r="B34" s="1">
        <v>20.09</v>
      </c>
      <c r="C34" s="3" t="s">
        <v>101</v>
      </c>
      <c r="D34">
        <v>4</v>
      </c>
    </row>
    <row r="35" spans="1:4" ht="17" x14ac:dyDescent="0.25">
      <c r="A35" s="4" t="s">
        <v>293</v>
      </c>
      <c r="B35" s="1">
        <v>22.43</v>
      </c>
      <c r="C35" s="3" t="s">
        <v>102</v>
      </c>
      <c r="D35">
        <v>4</v>
      </c>
    </row>
    <row r="36" spans="1:4" ht="17" x14ac:dyDescent="0.25">
      <c r="A36" s="4" t="s">
        <v>317</v>
      </c>
      <c r="B36" s="1">
        <v>20.29</v>
      </c>
      <c r="C36" s="3" t="s">
        <v>103</v>
      </c>
      <c r="D36">
        <v>4</v>
      </c>
    </row>
    <row r="37" spans="1:4" ht="17" x14ac:dyDescent="0.25">
      <c r="A37" s="4" t="s">
        <v>318</v>
      </c>
      <c r="B37" s="1">
        <v>20.04</v>
      </c>
      <c r="C37" s="3" t="s">
        <v>104</v>
      </c>
      <c r="D37">
        <v>4</v>
      </c>
    </row>
    <row r="38" spans="1:4" ht="17" x14ac:dyDescent="0.25">
      <c r="A38" s="4" t="s">
        <v>319</v>
      </c>
      <c r="B38" s="1">
        <v>20.23</v>
      </c>
      <c r="C38" s="3" t="s">
        <v>105</v>
      </c>
      <c r="D38">
        <v>4</v>
      </c>
    </row>
    <row r="39" spans="1:4" ht="17" x14ac:dyDescent="0.25">
      <c r="A39" s="4" t="s">
        <v>320</v>
      </c>
      <c r="B39" s="1">
        <v>20.22</v>
      </c>
      <c r="C39" s="3" t="s">
        <v>106</v>
      </c>
      <c r="D39">
        <v>4</v>
      </c>
    </row>
    <row r="40" spans="1:4" ht="17" x14ac:dyDescent="0.25">
      <c r="A40" s="4" t="s">
        <v>295</v>
      </c>
      <c r="B40" s="1">
        <v>22.33</v>
      </c>
      <c r="C40" s="3" t="s">
        <v>107</v>
      </c>
      <c r="D40">
        <v>4</v>
      </c>
    </row>
    <row r="41" spans="1:4" ht="17" x14ac:dyDescent="0.25">
      <c r="A41" s="4" t="s">
        <v>268</v>
      </c>
      <c r="B41" s="1">
        <v>20.21</v>
      </c>
      <c r="C41" s="3" t="s">
        <v>108</v>
      </c>
      <c r="D41">
        <v>4</v>
      </c>
    </row>
    <row r="42" spans="1:4" ht="17" x14ac:dyDescent="0.25">
      <c r="A42" s="4" t="s">
        <v>278</v>
      </c>
      <c r="B42" s="1">
        <v>20.2</v>
      </c>
      <c r="C42" s="3" t="s">
        <v>109</v>
      </c>
      <c r="D42">
        <v>4</v>
      </c>
    </row>
    <row r="43" spans="1:4" ht="17" x14ac:dyDescent="0.25">
      <c r="A43" s="4" t="s">
        <v>262</v>
      </c>
      <c r="B43" s="1">
        <v>19.91</v>
      </c>
      <c r="C43" s="3" t="s">
        <v>110</v>
      </c>
      <c r="D43">
        <v>4</v>
      </c>
    </row>
    <row r="44" spans="1:4" ht="17" x14ac:dyDescent="0.25">
      <c r="A44" s="4" t="s">
        <v>251</v>
      </c>
      <c r="B44" s="1">
        <v>22.44</v>
      </c>
      <c r="C44" s="3" t="s">
        <v>111</v>
      </c>
      <c r="D44">
        <v>4</v>
      </c>
    </row>
    <row r="45" spans="1:4" ht="17" x14ac:dyDescent="0.25">
      <c r="A45" s="4" t="s">
        <v>270</v>
      </c>
      <c r="B45" s="1">
        <v>20.260000000000002</v>
      </c>
      <c r="C45" s="3" t="s">
        <v>112</v>
      </c>
      <c r="D45">
        <v>4</v>
      </c>
    </row>
    <row r="46" spans="1:4" ht="17" x14ac:dyDescent="0.25">
      <c r="A46" s="4" t="s">
        <v>330</v>
      </c>
      <c r="B46" s="1">
        <v>22.41</v>
      </c>
      <c r="C46" s="3" t="s">
        <v>113</v>
      </c>
      <c r="D46">
        <v>4</v>
      </c>
    </row>
    <row r="47" spans="1:4" ht="17" x14ac:dyDescent="0.25">
      <c r="A47" s="4" t="s">
        <v>331</v>
      </c>
      <c r="B47" s="1">
        <v>20.25</v>
      </c>
      <c r="C47" s="3" t="s">
        <v>114</v>
      </c>
      <c r="D47">
        <v>4</v>
      </c>
    </row>
    <row r="48" spans="1:4" ht="17" x14ac:dyDescent="0.25">
      <c r="A48" s="4" t="s">
        <v>269</v>
      </c>
      <c r="B48" s="1">
        <v>20.25</v>
      </c>
      <c r="C48" s="3" t="s">
        <v>115</v>
      </c>
      <c r="D48">
        <v>4</v>
      </c>
    </row>
    <row r="49" spans="1:4" ht="17" x14ac:dyDescent="0.25">
      <c r="A49" s="4" t="s">
        <v>332</v>
      </c>
      <c r="B49" s="1">
        <v>22.38</v>
      </c>
      <c r="C49" s="3" t="s">
        <v>116</v>
      </c>
      <c r="D49">
        <v>4</v>
      </c>
    </row>
    <row r="50" spans="1:4" ht="17" x14ac:dyDescent="0.25">
      <c r="A50" s="4" t="s">
        <v>257</v>
      </c>
      <c r="B50" s="1">
        <v>22.44</v>
      </c>
      <c r="C50" s="3" t="s">
        <v>117</v>
      </c>
      <c r="D50">
        <v>4</v>
      </c>
    </row>
  </sheetData>
  <autoFilter ref="A1:D1" xr:uid="{1DEECEA4-10D2-E04A-9EB0-8915A1D0DCC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4295-7DC7-EE4A-9C34-3944BD4942F5}">
  <dimension ref="A1:D57"/>
  <sheetViews>
    <sheetView zoomScale="125" zoomScaleNormal="125" workbookViewId="0">
      <selection activeCell="H19" sqref="H19"/>
    </sheetView>
  </sheetViews>
  <sheetFormatPr baseColWidth="10" defaultRowHeight="16" x14ac:dyDescent="0.2"/>
  <cols>
    <col min="1" max="1" width="22.6640625" bestFit="1" customWidth="1"/>
    <col min="2" max="2" width="7.5" bestFit="1" customWidth="1"/>
    <col min="3" max="3" width="23" bestFit="1" customWidth="1"/>
    <col min="4" max="4" width="7.1640625" bestFit="1" customWidth="1"/>
  </cols>
  <sheetData>
    <row r="1" spans="1:4" ht="17" x14ac:dyDescent="0.25">
      <c r="A1" s="1" t="s">
        <v>302</v>
      </c>
      <c r="B1" s="3" t="s">
        <v>303</v>
      </c>
      <c r="C1" t="s">
        <v>304</v>
      </c>
      <c r="D1" t="s">
        <v>322</v>
      </c>
    </row>
    <row r="2" spans="1:4" ht="17" x14ac:dyDescent="0.25">
      <c r="A2" s="4" t="s">
        <v>254</v>
      </c>
      <c r="B2" s="1">
        <v>22.47</v>
      </c>
      <c r="C2" s="3" t="s">
        <v>194</v>
      </c>
      <c r="D2">
        <v>7</v>
      </c>
    </row>
    <row r="3" spans="1:4" ht="17" x14ac:dyDescent="0.25">
      <c r="A3" s="4" t="s">
        <v>266</v>
      </c>
      <c r="B3" s="1">
        <v>20.059999999999999</v>
      </c>
      <c r="C3" s="3" t="s">
        <v>195</v>
      </c>
      <c r="D3">
        <v>7</v>
      </c>
    </row>
    <row r="4" spans="1:4" ht="17" x14ac:dyDescent="0.25">
      <c r="A4" s="4" t="s">
        <v>276</v>
      </c>
      <c r="B4" s="1">
        <v>20.38</v>
      </c>
      <c r="C4" s="3" t="s">
        <v>196</v>
      </c>
      <c r="D4">
        <v>7</v>
      </c>
    </row>
    <row r="5" spans="1:4" ht="17" x14ac:dyDescent="0.25">
      <c r="A5" s="4" t="s">
        <v>255</v>
      </c>
      <c r="B5" s="1">
        <v>22.42</v>
      </c>
      <c r="C5" s="3" t="s">
        <v>197</v>
      </c>
      <c r="D5">
        <v>7</v>
      </c>
    </row>
    <row r="6" spans="1:4" ht="17" x14ac:dyDescent="0.25">
      <c r="A6" s="4" t="s">
        <v>265</v>
      </c>
      <c r="B6" s="1">
        <v>20.03</v>
      </c>
      <c r="C6" s="3" t="s">
        <v>198</v>
      </c>
      <c r="D6">
        <v>7</v>
      </c>
    </row>
    <row r="7" spans="1:4" ht="17" x14ac:dyDescent="0.25">
      <c r="A7" s="4" t="s">
        <v>277</v>
      </c>
      <c r="B7" s="1">
        <v>20.29</v>
      </c>
      <c r="C7" s="3" t="s">
        <v>199</v>
      </c>
      <c r="D7">
        <v>7</v>
      </c>
    </row>
    <row r="8" spans="1:4" ht="17" x14ac:dyDescent="0.25">
      <c r="A8" s="4" t="s">
        <v>250</v>
      </c>
      <c r="B8" s="1">
        <v>22.24</v>
      </c>
      <c r="C8" s="3" t="s">
        <v>200</v>
      </c>
      <c r="D8">
        <v>7</v>
      </c>
    </row>
    <row r="9" spans="1:4" ht="17" x14ac:dyDescent="0.25">
      <c r="A9" s="4" t="s">
        <v>274</v>
      </c>
      <c r="B9" s="1">
        <v>20.16</v>
      </c>
      <c r="C9" s="3" t="s">
        <v>201</v>
      </c>
      <c r="D9">
        <v>7</v>
      </c>
    </row>
    <row r="10" spans="1:4" ht="17" x14ac:dyDescent="0.25">
      <c r="A10" s="4" t="s">
        <v>261</v>
      </c>
      <c r="B10" s="1">
        <v>19.829999999999998</v>
      </c>
      <c r="C10" s="3" t="s">
        <v>202</v>
      </c>
      <c r="D10">
        <v>7</v>
      </c>
    </row>
    <row r="11" spans="1:4" ht="17" x14ac:dyDescent="0.25">
      <c r="A11" s="4" t="s">
        <v>260</v>
      </c>
      <c r="B11" s="1">
        <v>22.48</v>
      </c>
      <c r="C11" s="3" t="s">
        <v>203</v>
      </c>
      <c r="D11">
        <v>7</v>
      </c>
    </row>
    <row r="12" spans="1:4" ht="17" x14ac:dyDescent="0.25">
      <c r="A12" s="4" t="s">
        <v>271</v>
      </c>
      <c r="B12" s="1">
        <v>20.25</v>
      </c>
      <c r="C12" s="3" t="s">
        <v>204</v>
      </c>
      <c r="D12">
        <v>7</v>
      </c>
    </row>
    <row r="13" spans="1:4" ht="17" x14ac:dyDescent="0.25">
      <c r="A13" s="4" t="s">
        <v>252</v>
      </c>
      <c r="B13" s="1">
        <v>22.39</v>
      </c>
      <c r="C13" s="3" t="s">
        <v>205</v>
      </c>
      <c r="D13">
        <v>7</v>
      </c>
    </row>
    <row r="14" spans="1:4" ht="17" x14ac:dyDescent="0.25">
      <c r="A14" s="4" t="s">
        <v>275</v>
      </c>
      <c r="B14" s="1">
        <v>20.23</v>
      </c>
      <c r="C14" s="3" t="s">
        <v>206</v>
      </c>
      <c r="D14">
        <v>7</v>
      </c>
    </row>
    <row r="15" spans="1:4" ht="17" x14ac:dyDescent="0.25">
      <c r="A15" s="4" t="s">
        <v>264</v>
      </c>
      <c r="B15" s="1">
        <v>19.920000000000002</v>
      </c>
      <c r="C15" s="3" t="s">
        <v>207</v>
      </c>
      <c r="D15">
        <v>7</v>
      </c>
    </row>
    <row r="16" spans="1:4" ht="17" x14ac:dyDescent="0.25">
      <c r="A16" s="4" t="s">
        <v>259</v>
      </c>
      <c r="B16" s="1">
        <v>22.34</v>
      </c>
      <c r="C16" s="3" t="s">
        <v>208</v>
      </c>
      <c r="D16">
        <v>7</v>
      </c>
    </row>
    <row r="17" spans="1:4" ht="17" x14ac:dyDescent="0.25">
      <c r="A17" s="4" t="s">
        <v>258</v>
      </c>
      <c r="B17" s="1">
        <v>22.33</v>
      </c>
      <c r="C17" s="3" t="s">
        <v>209</v>
      </c>
      <c r="D17">
        <v>7</v>
      </c>
    </row>
    <row r="18" spans="1:4" ht="17" x14ac:dyDescent="0.25">
      <c r="A18" s="4" t="s">
        <v>253</v>
      </c>
      <c r="B18" s="1">
        <v>22.51</v>
      </c>
      <c r="C18" s="3" t="s">
        <v>210</v>
      </c>
      <c r="D18">
        <v>7</v>
      </c>
    </row>
    <row r="19" spans="1:4" ht="17" x14ac:dyDescent="0.25">
      <c r="A19" s="4" t="s">
        <v>273</v>
      </c>
      <c r="B19" s="1">
        <v>20.420000000000002</v>
      </c>
      <c r="C19" s="3" t="s">
        <v>211</v>
      </c>
      <c r="D19">
        <v>7</v>
      </c>
    </row>
    <row r="20" spans="1:4" ht="17" x14ac:dyDescent="0.25">
      <c r="A20" s="4" t="s">
        <v>263</v>
      </c>
      <c r="B20" s="1">
        <v>20.11</v>
      </c>
      <c r="C20" s="3" t="s">
        <v>212</v>
      </c>
      <c r="D20">
        <v>7</v>
      </c>
    </row>
    <row r="21" spans="1:4" ht="17" x14ac:dyDescent="0.25">
      <c r="A21" s="4" t="s">
        <v>272</v>
      </c>
      <c r="B21" s="1">
        <v>20.27</v>
      </c>
      <c r="C21" s="3" t="s">
        <v>213</v>
      </c>
      <c r="D21">
        <v>7</v>
      </c>
    </row>
    <row r="22" spans="1:4" ht="17" x14ac:dyDescent="0.25">
      <c r="A22" s="4" t="s">
        <v>305</v>
      </c>
      <c r="B22" s="1">
        <v>20.25</v>
      </c>
      <c r="C22" s="3" t="s">
        <v>214</v>
      </c>
      <c r="D22">
        <v>7</v>
      </c>
    </row>
    <row r="23" spans="1:4" ht="17" x14ac:dyDescent="0.25">
      <c r="A23" s="4" t="s">
        <v>286</v>
      </c>
      <c r="B23" s="1">
        <v>22.39</v>
      </c>
      <c r="C23" s="3" t="s">
        <v>215</v>
      </c>
      <c r="D23">
        <v>7</v>
      </c>
    </row>
    <row r="24" spans="1:4" ht="17" x14ac:dyDescent="0.25">
      <c r="A24" s="4" t="s">
        <v>306</v>
      </c>
      <c r="B24" s="1">
        <v>20.25</v>
      </c>
      <c r="C24" s="3" t="s">
        <v>216</v>
      </c>
      <c r="D24">
        <v>7</v>
      </c>
    </row>
    <row r="25" spans="1:4" ht="17" x14ac:dyDescent="0.25">
      <c r="A25" s="4" t="s">
        <v>307</v>
      </c>
      <c r="B25" s="1">
        <v>20.239999999999998</v>
      </c>
      <c r="C25" s="3" t="s">
        <v>217</v>
      </c>
      <c r="D25">
        <v>7</v>
      </c>
    </row>
    <row r="26" spans="1:4" ht="17" x14ac:dyDescent="0.25">
      <c r="A26" s="4" t="s">
        <v>308</v>
      </c>
      <c r="B26" s="1">
        <v>22.53</v>
      </c>
      <c r="C26" s="3" t="s">
        <v>218</v>
      </c>
      <c r="D26">
        <v>7</v>
      </c>
    </row>
    <row r="27" spans="1:4" ht="17" x14ac:dyDescent="0.25">
      <c r="A27" s="4" t="s">
        <v>287</v>
      </c>
      <c r="B27" s="1">
        <v>22.54</v>
      </c>
      <c r="C27" s="3" t="s">
        <v>219</v>
      </c>
      <c r="D27">
        <v>7</v>
      </c>
    </row>
    <row r="28" spans="1:4" ht="17" x14ac:dyDescent="0.25">
      <c r="A28" s="4" t="s">
        <v>309</v>
      </c>
      <c r="B28" s="1">
        <v>20.100000000000001</v>
      </c>
      <c r="C28" s="3" t="s">
        <v>220</v>
      </c>
      <c r="D28">
        <v>7</v>
      </c>
    </row>
    <row r="29" spans="1:4" ht="17" x14ac:dyDescent="0.25">
      <c r="A29" s="4" t="s">
        <v>288</v>
      </c>
      <c r="B29" s="1">
        <v>22.32</v>
      </c>
      <c r="C29" s="3" t="s">
        <v>221</v>
      </c>
      <c r="D29">
        <v>7</v>
      </c>
    </row>
    <row r="30" spans="1:4" ht="17" x14ac:dyDescent="0.25">
      <c r="A30" s="4" t="s">
        <v>289</v>
      </c>
      <c r="B30" s="1">
        <v>22.55</v>
      </c>
      <c r="C30" s="3" t="s">
        <v>222</v>
      </c>
      <c r="D30">
        <v>7</v>
      </c>
    </row>
    <row r="31" spans="1:4" ht="17" x14ac:dyDescent="0.25">
      <c r="A31" s="4" t="s">
        <v>310</v>
      </c>
      <c r="B31" s="1">
        <v>20.39</v>
      </c>
      <c r="C31" s="3" t="s">
        <v>223</v>
      </c>
      <c r="D31">
        <v>7</v>
      </c>
    </row>
    <row r="32" spans="1:4" ht="17" x14ac:dyDescent="0.25">
      <c r="A32" s="4" t="s">
        <v>311</v>
      </c>
      <c r="B32" s="1">
        <v>16.53</v>
      </c>
      <c r="C32" s="3" t="s">
        <v>224</v>
      </c>
      <c r="D32">
        <v>7</v>
      </c>
    </row>
    <row r="33" spans="1:4" ht="17" x14ac:dyDescent="0.25">
      <c r="A33" s="4" t="s">
        <v>290</v>
      </c>
      <c r="B33" s="1">
        <v>22.54</v>
      </c>
      <c r="C33" s="3" t="s">
        <v>225</v>
      </c>
      <c r="D33">
        <v>7</v>
      </c>
    </row>
    <row r="34" spans="1:4" ht="17" x14ac:dyDescent="0.25">
      <c r="A34" s="4" t="s">
        <v>312</v>
      </c>
      <c r="B34" s="1">
        <v>20.48</v>
      </c>
      <c r="C34" s="3" t="s">
        <v>226</v>
      </c>
      <c r="D34">
        <v>7</v>
      </c>
    </row>
    <row r="35" spans="1:4" ht="17" x14ac:dyDescent="0.25">
      <c r="A35" s="4" t="s">
        <v>313</v>
      </c>
      <c r="B35" s="1">
        <v>20.399999999999999</v>
      </c>
      <c r="C35" s="3" t="s">
        <v>227</v>
      </c>
      <c r="D35">
        <v>7</v>
      </c>
    </row>
    <row r="36" spans="1:4" ht="17" x14ac:dyDescent="0.25">
      <c r="A36" s="4" t="s">
        <v>291</v>
      </c>
      <c r="B36" s="1">
        <v>22.51</v>
      </c>
      <c r="C36" s="3" t="s">
        <v>228</v>
      </c>
      <c r="D36">
        <v>7</v>
      </c>
    </row>
    <row r="37" spans="1:4" ht="17" x14ac:dyDescent="0.25">
      <c r="A37" s="4" t="s">
        <v>314</v>
      </c>
      <c r="B37" s="1">
        <v>19.989999999999998</v>
      </c>
      <c r="C37" s="3" t="s">
        <v>229</v>
      </c>
      <c r="D37">
        <v>7</v>
      </c>
    </row>
    <row r="38" spans="1:4" ht="17" x14ac:dyDescent="0.25">
      <c r="A38" s="4" t="s">
        <v>315</v>
      </c>
      <c r="B38" s="1">
        <v>20.37</v>
      </c>
      <c r="C38" s="3" t="s">
        <v>230</v>
      </c>
      <c r="D38">
        <v>7</v>
      </c>
    </row>
    <row r="39" spans="1:4" ht="17" x14ac:dyDescent="0.25">
      <c r="A39" s="4" t="s">
        <v>292</v>
      </c>
      <c r="B39" s="1">
        <v>22.48</v>
      </c>
      <c r="C39" s="3" t="s">
        <v>231</v>
      </c>
      <c r="D39">
        <v>7</v>
      </c>
    </row>
    <row r="40" spans="1:4" ht="17" x14ac:dyDescent="0.25">
      <c r="A40" s="4" t="s">
        <v>316</v>
      </c>
      <c r="B40" s="1">
        <v>20.079999999999998</v>
      </c>
      <c r="C40" s="3" t="s">
        <v>232</v>
      </c>
      <c r="D40">
        <v>7</v>
      </c>
    </row>
    <row r="41" spans="1:4" ht="17" x14ac:dyDescent="0.25">
      <c r="A41" s="4" t="s">
        <v>293</v>
      </c>
      <c r="B41" s="1">
        <v>22.43</v>
      </c>
      <c r="C41" s="3" t="s">
        <v>233</v>
      </c>
      <c r="D41">
        <v>7</v>
      </c>
    </row>
    <row r="42" spans="1:4" ht="17" x14ac:dyDescent="0.25">
      <c r="A42" s="4" t="s">
        <v>317</v>
      </c>
      <c r="B42" s="1">
        <v>20.3</v>
      </c>
      <c r="C42" s="3" t="s">
        <v>234</v>
      </c>
      <c r="D42">
        <v>7</v>
      </c>
    </row>
    <row r="43" spans="1:4" ht="17" x14ac:dyDescent="0.25">
      <c r="A43" s="4" t="s">
        <v>318</v>
      </c>
      <c r="B43" s="1">
        <v>20.010000000000002</v>
      </c>
      <c r="C43" s="3" t="s">
        <v>235</v>
      </c>
      <c r="D43">
        <v>7</v>
      </c>
    </row>
    <row r="44" spans="1:4" ht="17" x14ac:dyDescent="0.25">
      <c r="A44" s="4" t="s">
        <v>294</v>
      </c>
      <c r="B44" s="1">
        <v>22.3</v>
      </c>
      <c r="C44" s="3" t="s">
        <v>236</v>
      </c>
      <c r="D44">
        <v>7</v>
      </c>
    </row>
    <row r="45" spans="1:4" ht="17" x14ac:dyDescent="0.25">
      <c r="A45" s="4" t="s">
        <v>319</v>
      </c>
      <c r="B45" s="1">
        <v>20.2</v>
      </c>
      <c r="C45" s="3" t="s">
        <v>237</v>
      </c>
      <c r="D45">
        <v>7</v>
      </c>
    </row>
    <row r="46" spans="1:4" ht="17" x14ac:dyDescent="0.25">
      <c r="A46" s="4" t="s">
        <v>320</v>
      </c>
      <c r="B46" s="1">
        <v>20.170000000000002</v>
      </c>
      <c r="C46" s="3" t="s">
        <v>238</v>
      </c>
      <c r="D46">
        <v>7</v>
      </c>
    </row>
    <row r="47" spans="1:4" ht="17" x14ac:dyDescent="0.25">
      <c r="A47" s="4" t="s">
        <v>321</v>
      </c>
      <c r="B47" s="1">
        <v>19.89</v>
      </c>
      <c r="C47" s="3" t="s">
        <v>239</v>
      </c>
      <c r="D47">
        <v>7</v>
      </c>
    </row>
    <row r="48" spans="1:4" ht="17" x14ac:dyDescent="0.25">
      <c r="A48" s="4" t="s">
        <v>295</v>
      </c>
      <c r="B48" s="1">
        <v>22.32</v>
      </c>
      <c r="C48" s="3" t="s">
        <v>240</v>
      </c>
      <c r="D48">
        <v>7</v>
      </c>
    </row>
    <row r="49" spans="1:4" ht="17" x14ac:dyDescent="0.25">
      <c r="A49" s="4" t="s">
        <v>268</v>
      </c>
      <c r="B49" s="1">
        <v>20.18</v>
      </c>
      <c r="C49" s="3" t="s">
        <v>241</v>
      </c>
      <c r="D49">
        <v>7</v>
      </c>
    </row>
    <row r="50" spans="1:4" ht="17" x14ac:dyDescent="0.25">
      <c r="A50" s="4" t="s">
        <v>278</v>
      </c>
      <c r="B50" s="1">
        <v>20.18</v>
      </c>
      <c r="C50" s="3" t="s">
        <v>242</v>
      </c>
      <c r="D50">
        <v>7</v>
      </c>
    </row>
    <row r="51" spans="1:4" ht="17" x14ac:dyDescent="0.25">
      <c r="A51" s="4" t="s">
        <v>262</v>
      </c>
      <c r="B51" s="1">
        <v>19.899999999999999</v>
      </c>
      <c r="C51" s="3" t="s">
        <v>243</v>
      </c>
      <c r="D51">
        <v>7</v>
      </c>
    </row>
    <row r="52" spans="1:4" ht="17" x14ac:dyDescent="0.25">
      <c r="A52" s="4" t="s">
        <v>251</v>
      </c>
      <c r="B52" s="1">
        <v>22.4</v>
      </c>
      <c r="C52" s="3" t="s">
        <v>244</v>
      </c>
      <c r="D52">
        <v>7</v>
      </c>
    </row>
    <row r="53" spans="1:4" ht="17" x14ac:dyDescent="0.25">
      <c r="A53" s="4" t="s">
        <v>267</v>
      </c>
      <c r="B53" s="1">
        <v>19.989999999999998</v>
      </c>
      <c r="C53" s="3" t="s">
        <v>245</v>
      </c>
      <c r="D53">
        <v>7</v>
      </c>
    </row>
    <row r="54" spans="1:4" ht="17" x14ac:dyDescent="0.25">
      <c r="A54" s="4" t="s">
        <v>256</v>
      </c>
      <c r="B54" s="1">
        <v>22.37</v>
      </c>
      <c r="C54" s="3" t="s">
        <v>246</v>
      </c>
      <c r="D54">
        <v>7</v>
      </c>
    </row>
    <row r="55" spans="1:4" ht="17" x14ac:dyDescent="0.25">
      <c r="A55" s="4" t="s">
        <v>270</v>
      </c>
      <c r="B55" s="1">
        <v>20.22</v>
      </c>
      <c r="C55" s="3" t="s">
        <v>247</v>
      </c>
      <c r="D55">
        <v>7</v>
      </c>
    </row>
    <row r="56" spans="1:4" ht="17" x14ac:dyDescent="0.25">
      <c r="A56" s="4" t="s">
        <v>269</v>
      </c>
      <c r="B56" s="1">
        <v>20.23</v>
      </c>
      <c r="C56" s="3" t="s">
        <v>248</v>
      </c>
      <c r="D56">
        <v>7</v>
      </c>
    </row>
    <row r="57" spans="1:4" ht="17" x14ac:dyDescent="0.25">
      <c r="A57" s="4" t="s">
        <v>257</v>
      </c>
      <c r="B57" s="1">
        <v>22.43</v>
      </c>
      <c r="C57" s="3" t="s">
        <v>249</v>
      </c>
      <c r="D57">
        <v>7</v>
      </c>
    </row>
  </sheetData>
  <autoFilter ref="A1:D1" xr:uid="{EC254295-7DC7-EE4A-9C34-3944BD4942F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6AD0-720D-1B4B-97EC-87A9EFAA0A17}">
  <dimension ref="A1:D51"/>
  <sheetViews>
    <sheetView zoomScale="125" zoomScaleNormal="125" workbookViewId="0">
      <selection activeCell="H19" sqref="H19"/>
    </sheetView>
  </sheetViews>
  <sheetFormatPr baseColWidth="10" defaultRowHeight="16" x14ac:dyDescent="0.2"/>
  <cols>
    <col min="1" max="1" width="25.83203125" bestFit="1" customWidth="1"/>
    <col min="2" max="2" width="6.1640625" bestFit="1" customWidth="1"/>
    <col min="3" max="3" width="23" bestFit="1" customWidth="1"/>
    <col min="4" max="4" width="4.6640625" bestFit="1" customWidth="1"/>
  </cols>
  <sheetData>
    <row r="1" spans="1:4" ht="17" x14ac:dyDescent="0.25">
      <c r="A1" s="1" t="s">
        <v>327</v>
      </c>
      <c r="B1" s="3" t="s">
        <v>303</v>
      </c>
      <c r="C1" t="s">
        <v>304</v>
      </c>
      <c r="D1" t="s">
        <v>322</v>
      </c>
    </row>
    <row r="2" spans="1:4" ht="17" x14ac:dyDescent="0.25">
      <c r="A2" s="4" t="s">
        <v>254</v>
      </c>
      <c r="B2" s="1">
        <v>22.47</v>
      </c>
      <c r="C2" s="3" t="s">
        <v>118</v>
      </c>
      <c r="D2">
        <v>8</v>
      </c>
    </row>
    <row r="3" spans="1:4" ht="17" x14ac:dyDescent="0.25">
      <c r="A3" s="4" t="s">
        <v>266</v>
      </c>
      <c r="B3" s="1">
        <v>20.13</v>
      </c>
      <c r="C3" s="3" t="s">
        <v>119</v>
      </c>
      <c r="D3">
        <v>8</v>
      </c>
    </row>
    <row r="4" spans="1:4" ht="17" x14ac:dyDescent="0.25">
      <c r="A4" s="4" t="s">
        <v>276</v>
      </c>
      <c r="B4" s="1">
        <v>20.37</v>
      </c>
      <c r="C4" s="3" t="s">
        <v>120</v>
      </c>
      <c r="D4">
        <v>8</v>
      </c>
    </row>
    <row r="5" spans="1:4" ht="17" x14ac:dyDescent="0.25">
      <c r="A5" s="4" t="s">
        <v>255</v>
      </c>
      <c r="B5" s="1">
        <v>22.43</v>
      </c>
      <c r="C5" s="3" t="s">
        <v>121</v>
      </c>
      <c r="D5">
        <v>8</v>
      </c>
    </row>
    <row r="6" spans="1:4" ht="17" x14ac:dyDescent="0.25">
      <c r="A6" s="4" t="s">
        <v>265</v>
      </c>
      <c r="B6" s="1">
        <v>20.02</v>
      </c>
      <c r="C6" s="3" t="s">
        <v>122</v>
      </c>
      <c r="D6">
        <v>8</v>
      </c>
    </row>
    <row r="7" spans="1:4" ht="17" x14ac:dyDescent="0.25">
      <c r="A7" s="4" t="s">
        <v>277</v>
      </c>
      <c r="B7" s="1">
        <v>20.29</v>
      </c>
      <c r="C7" s="3" t="s">
        <v>123</v>
      </c>
      <c r="D7">
        <v>8</v>
      </c>
    </row>
    <row r="8" spans="1:4" ht="17" x14ac:dyDescent="0.25">
      <c r="A8" s="4" t="s">
        <v>250</v>
      </c>
      <c r="B8" s="1">
        <v>22.25</v>
      </c>
      <c r="C8" s="3" t="s">
        <v>124</v>
      </c>
      <c r="D8">
        <v>8</v>
      </c>
    </row>
    <row r="9" spans="1:4" ht="17" x14ac:dyDescent="0.25">
      <c r="A9" s="4" t="s">
        <v>260</v>
      </c>
      <c r="B9" s="1">
        <v>22.49</v>
      </c>
      <c r="C9" s="3" t="s">
        <v>125</v>
      </c>
      <c r="D9">
        <v>8</v>
      </c>
    </row>
    <row r="10" spans="1:4" ht="17" x14ac:dyDescent="0.25">
      <c r="A10" s="4" t="s">
        <v>298</v>
      </c>
      <c r="B10" s="1">
        <v>22.42</v>
      </c>
      <c r="C10" s="3" t="s">
        <v>126</v>
      </c>
      <c r="D10">
        <v>8</v>
      </c>
    </row>
    <row r="11" spans="1:4" ht="17" x14ac:dyDescent="0.25">
      <c r="A11" s="4" t="s">
        <v>259</v>
      </c>
      <c r="B11" s="1">
        <v>22.35</v>
      </c>
      <c r="C11" s="3" t="s">
        <v>127</v>
      </c>
      <c r="D11">
        <v>8</v>
      </c>
    </row>
    <row r="12" spans="1:4" ht="17" x14ac:dyDescent="0.25">
      <c r="A12" s="4" t="s">
        <v>258</v>
      </c>
      <c r="B12" s="1">
        <v>22.32</v>
      </c>
      <c r="C12" s="3" t="s">
        <v>128</v>
      </c>
      <c r="D12">
        <v>8</v>
      </c>
    </row>
    <row r="13" spans="1:4" ht="17" x14ac:dyDescent="0.25">
      <c r="A13" s="4" t="s">
        <v>253</v>
      </c>
      <c r="B13" s="1">
        <v>22.5</v>
      </c>
      <c r="C13" s="3" t="s">
        <v>129</v>
      </c>
      <c r="D13">
        <v>8</v>
      </c>
    </row>
    <row r="14" spans="1:4" ht="17" x14ac:dyDescent="0.25">
      <c r="A14" s="4" t="s">
        <v>273</v>
      </c>
      <c r="B14" s="1">
        <v>20.41</v>
      </c>
      <c r="C14" s="3" t="s">
        <v>130</v>
      </c>
      <c r="D14">
        <v>8</v>
      </c>
    </row>
    <row r="15" spans="1:4" ht="17" x14ac:dyDescent="0.25">
      <c r="A15" s="4" t="s">
        <v>263</v>
      </c>
      <c r="B15" s="1">
        <v>20.12</v>
      </c>
      <c r="C15" s="3" t="s">
        <v>131</v>
      </c>
      <c r="D15">
        <v>8</v>
      </c>
    </row>
    <row r="16" spans="1:4" ht="17" x14ac:dyDescent="0.25">
      <c r="A16" s="4" t="s">
        <v>272</v>
      </c>
      <c r="B16" s="1">
        <v>20.25</v>
      </c>
      <c r="C16" s="3" t="s">
        <v>132</v>
      </c>
      <c r="D16">
        <v>8</v>
      </c>
    </row>
    <row r="17" spans="1:4" ht="17" x14ac:dyDescent="0.25">
      <c r="A17" s="4" t="s">
        <v>305</v>
      </c>
      <c r="B17" s="1">
        <v>20.260000000000002</v>
      </c>
      <c r="C17" s="3" t="s">
        <v>133</v>
      </c>
      <c r="D17">
        <v>8</v>
      </c>
    </row>
    <row r="18" spans="1:4" ht="17" x14ac:dyDescent="0.25">
      <c r="A18" s="4" t="s">
        <v>286</v>
      </c>
      <c r="B18" s="1">
        <v>22.38</v>
      </c>
      <c r="C18" s="3" t="s">
        <v>134</v>
      </c>
      <c r="D18">
        <v>8</v>
      </c>
    </row>
    <row r="19" spans="1:4" ht="17" x14ac:dyDescent="0.25">
      <c r="A19" s="4" t="s">
        <v>306</v>
      </c>
      <c r="B19" s="1">
        <v>20.260000000000002</v>
      </c>
      <c r="C19" s="3" t="s">
        <v>135</v>
      </c>
      <c r="D19">
        <v>8</v>
      </c>
    </row>
    <row r="20" spans="1:4" ht="17" x14ac:dyDescent="0.25">
      <c r="A20" s="4" t="s">
        <v>323</v>
      </c>
      <c r="B20" s="1">
        <v>20</v>
      </c>
      <c r="C20" s="3" t="s">
        <v>136</v>
      </c>
      <c r="D20">
        <v>8</v>
      </c>
    </row>
    <row r="21" spans="1:4" ht="17" x14ac:dyDescent="0.25">
      <c r="A21" s="4" t="s">
        <v>307</v>
      </c>
      <c r="B21" s="1">
        <v>20.25</v>
      </c>
      <c r="C21" s="3" t="s">
        <v>137</v>
      </c>
      <c r="D21">
        <v>8</v>
      </c>
    </row>
    <row r="22" spans="1:4" ht="17" x14ac:dyDescent="0.25">
      <c r="A22" s="4" t="s">
        <v>308</v>
      </c>
      <c r="B22" s="1">
        <v>20.39</v>
      </c>
      <c r="C22" s="3" t="s">
        <v>138</v>
      </c>
      <c r="D22">
        <v>8</v>
      </c>
    </row>
    <row r="23" spans="1:4" ht="17" x14ac:dyDescent="0.25">
      <c r="A23" s="4" t="s">
        <v>287</v>
      </c>
      <c r="B23" s="1">
        <v>22.56</v>
      </c>
      <c r="C23" s="3" t="s">
        <v>139</v>
      </c>
      <c r="D23">
        <v>8</v>
      </c>
    </row>
    <row r="24" spans="1:4" ht="17" x14ac:dyDescent="0.25">
      <c r="A24" s="4" t="s">
        <v>309</v>
      </c>
      <c r="B24" s="1">
        <v>20.100000000000001</v>
      </c>
      <c r="C24" s="3" t="s">
        <v>140</v>
      </c>
      <c r="D24">
        <v>8</v>
      </c>
    </row>
    <row r="25" spans="1:4" ht="17" x14ac:dyDescent="0.25">
      <c r="A25" s="4" t="s">
        <v>299</v>
      </c>
      <c r="B25" s="1">
        <v>22.35</v>
      </c>
      <c r="C25" s="3" t="s">
        <v>141</v>
      </c>
      <c r="D25">
        <v>8</v>
      </c>
    </row>
    <row r="26" spans="1:4" ht="17" x14ac:dyDescent="0.25">
      <c r="A26" s="4" t="s">
        <v>288</v>
      </c>
      <c r="B26" s="1">
        <v>22.32</v>
      </c>
      <c r="C26" s="3" t="s">
        <v>142</v>
      </c>
      <c r="D26">
        <v>8</v>
      </c>
    </row>
    <row r="27" spans="1:4" ht="17" x14ac:dyDescent="0.25">
      <c r="A27" s="4" t="s">
        <v>324</v>
      </c>
      <c r="B27" s="1">
        <v>20.329999999999998</v>
      </c>
      <c r="C27" s="3" t="s">
        <v>143</v>
      </c>
      <c r="D27">
        <v>8</v>
      </c>
    </row>
    <row r="28" spans="1:4" ht="17" x14ac:dyDescent="0.25">
      <c r="A28" s="4" t="s">
        <v>325</v>
      </c>
      <c r="B28" s="1">
        <v>20.329999999999998</v>
      </c>
      <c r="C28" s="3" t="s">
        <v>144</v>
      </c>
      <c r="D28">
        <v>8</v>
      </c>
    </row>
    <row r="29" spans="1:4" ht="17" x14ac:dyDescent="0.25">
      <c r="A29" s="4" t="s">
        <v>300</v>
      </c>
      <c r="B29" s="1">
        <v>22.45</v>
      </c>
      <c r="C29" s="3" t="s">
        <v>145</v>
      </c>
      <c r="D29">
        <v>8</v>
      </c>
    </row>
    <row r="30" spans="1:4" ht="17" x14ac:dyDescent="0.25">
      <c r="A30" s="4" t="s">
        <v>326</v>
      </c>
      <c r="B30" s="1">
        <v>20.37</v>
      </c>
      <c r="C30" s="3" t="s">
        <v>146</v>
      </c>
      <c r="D30">
        <v>8</v>
      </c>
    </row>
    <row r="31" spans="1:4" ht="17" x14ac:dyDescent="0.25">
      <c r="A31" s="4" t="s">
        <v>301</v>
      </c>
      <c r="B31" s="1">
        <v>22.51</v>
      </c>
      <c r="C31" s="3" t="s">
        <v>147</v>
      </c>
      <c r="D31">
        <v>8</v>
      </c>
    </row>
    <row r="32" spans="1:4" ht="17" x14ac:dyDescent="0.25">
      <c r="A32" s="4" t="s">
        <v>289</v>
      </c>
      <c r="B32" s="1">
        <v>22.57</v>
      </c>
      <c r="C32" s="3" t="s">
        <v>148</v>
      </c>
      <c r="D32">
        <v>8</v>
      </c>
    </row>
    <row r="33" spans="1:4" ht="17" x14ac:dyDescent="0.25">
      <c r="A33" s="4" t="s">
        <v>310</v>
      </c>
      <c r="B33" s="1">
        <v>20.41</v>
      </c>
      <c r="C33" s="3" t="s">
        <v>149</v>
      </c>
      <c r="D33">
        <v>8</v>
      </c>
    </row>
    <row r="34" spans="1:4" ht="17" x14ac:dyDescent="0.25">
      <c r="A34" s="4" t="s">
        <v>313</v>
      </c>
      <c r="B34" s="1">
        <v>20.37</v>
      </c>
      <c r="C34" s="3" t="s">
        <v>150</v>
      </c>
      <c r="D34">
        <v>8</v>
      </c>
    </row>
    <row r="35" spans="1:4" ht="17" x14ac:dyDescent="0.25">
      <c r="A35" s="4" t="s">
        <v>291</v>
      </c>
      <c r="B35" s="1">
        <v>22.38</v>
      </c>
      <c r="C35" s="3" t="s">
        <v>151</v>
      </c>
      <c r="D35">
        <v>8</v>
      </c>
    </row>
    <row r="36" spans="1:4" ht="17" x14ac:dyDescent="0.25">
      <c r="A36" s="4" t="s">
        <v>315</v>
      </c>
      <c r="B36" s="1">
        <v>20.36</v>
      </c>
      <c r="C36" s="3" t="s">
        <v>152</v>
      </c>
      <c r="D36">
        <v>8</v>
      </c>
    </row>
    <row r="37" spans="1:4" ht="17" x14ac:dyDescent="0.25">
      <c r="A37" s="4" t="s">
        <v>292</v>
      </c>
      <c r="B37" s="1">
        <v>22.47</v>
      </c>
      <c r="C37" s="3" t="s">
        <v>153</v>
      </c>
      <c r="D37">
        <v>8</v>
      </c>
    </row>
    <row r="38" spans="1:4" ht="17" x14ac:dyDescent="0.25">
      <c r="A38" s="4" t="s">
        <v>316</v>
      </c>
      <c r="B38" s="1">
        <v>20.07</v>
      </c>
      <c r="C38" s="3" t="s">
        <v>154</v>
      </c>
      <c r="D38">
        <v>8</v>
      </c>
    </row>
    <row r="39" spans="1:4" ht="17" x14ac:dyDescent="0.25">
      <c r="A39" s="4" t="s">
        <v>293</v>
      </c>
      <c r="B39" s="1">
        <v>22.44</v>
      </c>
      <c r="C39" s="3" t="s">
        <v>155</v>
      </c>
      <c r="D39">
        <v>8</v>
      </c>
    </row>
    <row r="40" spans="1:4" ht="17" x14ac:dyDescent="0.25">
      <c r="A40" s="4" t="s">
        <v>317</v>
      </c>
      <c r="B40" s="1">
        <v>20.309999999999999</v>
      </c>
      <c r="C40" s="3" t="s">
        <v>156</v>
      </c>
      <c r="D40">
        <v>8</v>
      </c>
    </row>
    <row r="41" spans="1:4" ht="17" x14ac:dyDescent="0.25">
      <c r="A41" s="4" t="s">
        <v>318</v>
      </c>
      <c r="B41" s="1">
        <v>20.04</v>
      </c>
      <c r="C41" s="3" t="s">
        <v>157</v>
      </c>
      <c r="D41">
        <v>8</v>
      </c>
    </row>
    <row r="42" spans="1:4" ht="17" x14ac:dyDescent="0.25">
      <c r="A42" s="4" t="s">
        <v>319</v>
      </c>
      <c r="B42" s="1">
        <v>20.190000000000001</v>
      </c>
      <c r="C42" s="3" t="s">
        <v>158</v>
      </c>
      <c r="D42">
        <v>8</v>
      </c>
    </row>
    <row r="43" spans="1:4" ht="17" x14ac:dyDescent="0.25">
      <c r="A43" s="4" t="s">
        <v>320</v>
      </c>
      <c r="B43" s="1">
        <v>20.170000000000002</v>
      </c>
      <c r="C43" s="3" t="s">
        <v>159</v>
      </c>
      <c r="D43">
        <v>8</v>
      </c>
    </row>
    <row r="44" spans="1:4" ht="17" x14ac:dyDescent="0.25">
      <c r="A44" s="4" t="s">
        <v>295</v>
      </c>
      <c r="B44" s="1">
        <v>3.2959999999999998</v>
      </c>
      <c r="C44" s="3" t="s">
        <v>160</v>
      </c>
      <c r="D44">
        <v>8</v>
      </c>
    </row>
    <row r="45" spans="1:4" ht="17" x14ac:dyDescent="0.25">
      <c r="A45" s="4" t="s">
        <v>268</v>
      </c>
      <c r="B45" s="1">
        <v>20.170000000000002</v>
      </c>
      <c r="C45" s="3" t="s">
        <v>161</v>
      </c>
      <c r="D45">
        <v>8</v>
      </c>
    </row>
    <row r="46" spans="1:4" ht="17" x14ac:dyDescent="0.25">
      <c r="A46" s="4" t="s">
        <v>278</v>
      </c>
      <c r="B46" s="1">
        <v>20.190000000000001</v>
      </c>
      <c r="C46" s="3" t="s">
        <v>162</v>
      </c>
      <c r="D46">
        <v>8</v>
      </c>
    </row>
    <row r="47" spans="1:4" ht="17" x14ac:dyDescent="0.25">
      <c r="A47" s="4" t="s">
        <v>262</v>
      </c>
      <c r="B47" s="1">
        <v>3.089</v>
      </c>
      <c r="C47" s="3" t="s">
        <v>163</v>
      </c>
      <c r="D47">
        <v>8</v>
      </c>
    </row>
    <row r="48" spans="1:4" ht="17" x14ac:dyDescent="0.25">
      <c r="A48" s="4" t="s">
        <v>251</v>
      </c>
      <c r="B48" s="1">
        <v>22.43</v>
      </c>
      <c r="C48" s="3" t="s">
        <v>164</v>
      </c>
      <c r="D48">
        <v>8</v>
      </c>
    </row>
    <row r="49" spans="1:4" ht="17" x14ac:dyDescent="0.25">
      <c r="A49" s="4" t="s">
        <v>270</v>
      </c>
      <c r="B49" s="1">
        <v>20.239999999999998</v>
      </c>
      <c r="C49" s="3" t="s">
        <v>165</v>
      </c>
      <c r="D49">
        <v>8</v>
      </c>
    </row>
    <row r="50" spans="1:4" ht="17" x14ac:dyDescent="0.25">
      <c r="A50" s="4" t="s">
        <v>269</v>
      </c>
      <c r="B50" s="1">
        <v>20.28</v>
      </c>
      <c r="C50" s="3" t="s">
        <v>166</v>
      </c>
      <c r="D50">
        <v>8</v>
      </c>
    </row>
    <row r="51" spans="1:4" ht="17" x14ac:dyDescent="0.25">
      <c r="A51" s="2"/>
      <c r="B51" s="1"/>
      <c r="C51" s="3"/>
    </row>
  </sheetData>
  <autoFilter ref="A1:D1" xr:uid="{9A7C6AD0-720D-1B4B-97EC-87A9EFAA0A1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CAF5-5CAD-2F44-A630-886EF043C3E3}">
  <sheetPr filterMode="1"/>
  <dimension ref="A1:Q70"/>
  <sheetViews>
    <sheetView tabSelected="1" workbookViewId="0">
      <selection activeCell="Q9" sqref="Q9"/>
    </sheetView>
  </sheetViews>
  <sheetFormatPr baseColWidth="10" defaultRowHeight="16" x14ac:dyDescent="0.2"/>
  <cols>
    <col min="1" max="1" width="16.1640625" bestFit="1" customWidth="1"/>
    <col min="2" max="2" width="18.5" bestFit="1" customWidth="1"/>
    <col min="3" max="3" width="10.33203125" bestFit="1" customWidth="1"/>
    <col min="4" max="4" width="6.33203125" bestFit="1" customWidth="1"/>
    <col min="5" max="5" width="9.5" bestFit="1" customWidth="1"/>
    <col min="6" max="6" width="7" bestFit="1" customWidth="1"/>
    <col min="7" max="7" width="12.1640625" bestFit="1" customWidth="1"/>
    <col min="8" max="8" width="7.6640625" bestFit="1" customWidth="1"/>
    <col min="9" max="9" width="11.33203125" bestFit="1" customWidth="1"/>
    <col min="10" max="12" width="9.33203125" bestFit="1" customWidth="1"/>
    <col min="13" max="13" width="25.83203125" bestFit="1" customWidth="1"/>
    <col min="14" max="17" width="23.83203125" customWidth="1"/>
  </cols>
  <sheetData>
    <row r="1" spans="1:17" x14ac:dyDescent="0.2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356</v>
      </c>
      <c r="N1" t="s">
        <v>352</v>
      </c>
      <c r="O1" t="s">
        <v>353</v>
      </c>
      <c r="P1" t="s">
        <v>354</v>
      </c>
      <c r="Q1" t="s">
        <v>355</v>
      </c>
    </row>
    <row r="2" spans="1:17" x14ac:dyDescent="0.2">
      <c r="A2">
        <v>1</v>
      </c>
      <c r="B2" t="s">
        <v>180</v>
      </c>
      <c r="C2" t="s">
        <v>279</v>
      </c>
      <c r="D2" t="s">
        <v>345</v>
      </c>
      <c r="E2" t="s">
        <v>346</v>
      </c>
      <c r="F2" t="s">
        <v>347</v>
      </c>
      <c r="G2">
        <v>6.1522353660000002</v>
      </c>
      <c r="H2">
        <v>1</v>
      </c>
      <c r="I2">
        <v>0</v>
      </c>
      <c r="J2">
        <v>4</v>
      </c>
      <c r="K2">
        <v>7</v>
      </c>
      <c r="L2">
        <v>8</v>
      </c>
      <c r="M2" t="s">
        <v>288</v>
      </c>
      <c r="N2" t="str">
        <f>IF(ISNA(I2),"--",_xlfn.XLOOKUP($M2,Historical!$A$2:$A$70,Historical!$C$2:$C$70,"ERROR"))</f>
        <v>2025-07-14T05:20:35.850Z</v>
      </c>
      <c r="O2" t="str">
        <f>IF(ISNA(J2),"--",_xlfn.XLOOKUP($M2,'SSP2-4.5'!$A$2:$A$70,'SSP2-4.5'!$C$2:$C$70,"ERROR"))</f>
        <v>2025-07-12T01:34:39.139Z</v>
      </c>
      <c r="P2" t="str">
        <f>IF(ISNA(K2),"--",_xlfn.XLOOKUP($M2,'SSP3-7.0'!$A$2:$A$70,'SSP3-7.0'!$C$2:$C$70,"ERROR"))</f>
        <v>2025-07-14T11:17:30.368Z</v>
      </c>
      <c r="Q2" t="str">
        <f>IF(ISNA(L2),"--",_xlfn.XLOOKUP($M2,'SSP5-8.5'!$A$2:$A$70,'SSP5-8.5'!$C$2:$C$70,"ERROR"))</f>
        <v>2025-07-14T18:47:12.147Z</v>
      </c>
    </row>
    <row r="3" spans="1:17" x14ac:dyDescent="0.2">
      <c r="A3">
        <v>2</v>
      </c>
      <c r="B3" t="s">
        <v>170</v>
      </c>
      <c r="C3" t="s">
        <v>279</v>
      </c>
      <c r="D3" t="s">
        <v>345</v>
      </c>
      <c r="E3" t="s">
        <v>346</v>
      </c>
      <c r="F3" t="s">
        <v>347</v>
      </c>
      <c r="G3">
        <v>6.3576725300000003</v>
      </c>
      <c r="H3">
        <v>1</v>
      </c>
      <c r="I3">
        <v>0</v>
      </c>
      <c r="J3">
        <v>4</v>
      </c>
      <c r="K3">
        <v>7</v>
      </c>
      <c r="L3">
        <v>8</v>
      </c>
      <c r="M3" t="s">
        <v>260</v>
      </c>
      <c r="N3" t="str">
        <f>IF(ISNA(I3),"--",_xlfn.XLOOKUP($M3,Historical!$A$2:$A$70,Historical!$C$2:$C$70,"ERROR"))</f>
        <v>2025-07-16T19:20:21.670Z</v>
      </c>
      <c r="O3" t="str">
        <f>IF(ISNA(J3),"--",_xlfn.XLOOKUP($M3,'SSP2-4.5'!$A$2:$A$70,'SSP2-4.5'!$C$2:$C$70,"ERROR"))</f>
        <v>2025-07-17T01:38:59.708Z</v>
      </c>
      <c r="P3" t="str">
        <f>IF(ISNA(K3),"--",_xlfn.XLOOKUP($M3,'SSP3-7.0'!$A$2:$A$70,'SSP3-7.0'!$C$2:$C$70,"ERROR"))</f>
        <v>2025-07-17T07:05:51.138Z</v>
      </c>
      <c r="Q3" t="str">
        <f>IF(ISNA(L3),"--",_xlfn.XLOOKUP($M3,'SSP5-8.5'!$A$2:$A$70,'SSP5-8.5'!$C$2:$C$70,"ERROR"))</f>
        <v>2025-07-17T12:41:28.612Z</v>
      </c>
    </row>
    <row r="4" spans="1:17" x14ac:dyDescent="0.2">
      <c r="A4">
        <v>3</v>
      </c>
      <c r="B4" t="s">
        <v>179</v>
      </c>
      <c r="C4" t="s">
        <v>279</v>
      </c>
      <c r="D4" t="s">
        <v>345</v>
      </c>
      <c r="E4" t="s">
        <v>346</v>
      </c>
      <c r="F4" t="s">
        <v>347</v>
      </c>
      <c r="G4">
        <v>6.498461356</v>
      </c>
      <c r="H4">
        <v>1</v>
      </c>
      <c r="I4">
        <v>0</v>
      </c>
      <c r="J4">
        <v>4</v>
      </c>
      <c r="K4" t="e">
        <f>NA()</f>
        <v>#N/A</v>
      </c>
      <c r="L4">
        <v>8</v>
      </c>
      <c r="M4" t="s">
        <v>299</v>
      </c>
      <c r="N4" t="str">
        <f>IF(ISNA(I4),"--",_xlfn.XLOOKUP($M4,Historical!$A$2:$A$70,Historical!$C$2:$C$70,"ERROR"))</f>
        <v>2025-07-15T01:33:03.787Z</v>
      </c>
      <c r="O4" t="str">
        <f>IF(ISNA(J4),"--",_xlfn.XLOOKUP($M4,'SSP2-4.5'!$A$2:$A$70,'SSP2-4.5'!$C$2:$C$70,"ERROR"))</f>
        <v>2025-07-15T07:38:40.287Z</v>
      </c>
      <c r="P4" t="str">
        <f>IF(ISNA(K4),"--",_xlfn.XLOOKUP($M4,'SSP3-7.0'!$A$2:$A$70,'SSP3-7.0'!$C$2:$C$70,"ERROR"))</f>
        <v>--</v>
      </c>
      <c r="Q4" t="str">
        <f>IF(ISNA(L4),"--",_xlfn.XLOOKUP($M4,'SSP5-8.5'!$A$2:$A$70,'SSP5-8.5'!$C$2:$C$70,"ERROR"))</f>
        <v>2025-07-15T13:17:48.656Z</v>
      </c>
    </row>
    <row r="5" spans="1:17" x14ac:dyDescent="0.2">
      <c r="A5">
        <v>4</v>
      </c>
      <c r="B5" t="s">
        <v>173</v>
      </c>
      <c r="C5" t="s">
        <v>281</v>
      </c>
      <c r="D5" t="s">
        <v>345</v>
      </c>
      <c r="E5" t="s">
        <v>346</v>
      </c>
      <c r="F5" t="s">
        <v>347</v>
      </c>
      <c r="G5">
        <v>6.5130637949999999</v>
      </c>
      <c r="H5">
        <v>1</v>
      </c>
      <c r="I5">
        <v>0</v>
      </c>
      <c r="J5">
        <v>4</v>
      </c>
      <c r="K5">
        <v>7</v>
      </c>
      <c r="L5">
        <v>8</v>
      </c>
      <c r="M5" t="s">
        <v>259</v>
      </c>
      <c r="N5" t="str">
        <f>IF(ISNA(I5),"--",_xlfn.XLOOKUP($M5,Historical!$A$2:$A$70,Historical!$C$2:$C$70,"ERROR"))</f>
        <v>2025-07-17T23:02:44.532Z</v>
      </c>
      <c r="O5" t="str">
        <f>IF(ISNA(J5),"--",_xlfn.XLOOKUP($M5,'SSP2-4.5'!$A$2:$A$70,'SSP2-4.5'!$C$2:$C$70,"ERROR"))</f>
        <v>2025-07-18T04:50:11.940Z</v>
      </c>
      <c r="P5" t="str">
        <f>IF(ISNA(K5),"--",_xlfn.XLOOKUP($M5,'SSP3-7.0'!$A$2:$A$70,'SSP3-7.0'!$C$2:$C$70,"ERROR"))</f>
        <v>2025-07-18T11:58:08.339Z</v>
      </c>
      <c r="Q5" t="str">
        <f>IF(ISNA(L5),"--",_xlfn.XLOOKUP($M5,'SSP5-8.5'!$A$2:$A$70,'SSP5-8.5'!$C$2:$C$70,"ERROR"))</f>
        <v>2025-07-18T17:37:30.973Z</v>
      </c>
    </row>
    <row r="6" spans="1:17" x14ac:dyDescent="0.2">
      <c r="A6">
        <v>5</v>
      </c>
      <c r="B6" t="s">
        <v>193</v>
      </c>
      <c r="C6" t="s">
        <v>279</v>
      </c>
      <c r="D6" t="s">
        <v>345</v>
      </c>
      <c r="E6" t="s">
        <v>346</v>
      </c>
      <c r="F6" t="s">
        <v>347</v>
      </c>
      <c r="G6">
        <v>6.6588287260000003</v>
      </c>
      <c r="H6">
        <v>1</v>
      </c>
      <c r="I6">
        <v>0</v>
      </c>
      <c r="J6">
        <v>4</v>
      </c>
      <c r="K6">
        <v>7</v>
      </c>
      <c r="L6" t="e">
        <f>NA()</f>
        <v>#N/A</v>
      </c>
      <c r="M6" t="s">
        <v>257</v>
      </c>
      <c r="N6" t="str">
        <f>IF(ISNA(I6),"--",_xlfn.XLOOKUP($M6,Historical!$A$2:$A$70,Historical!$C$2:$C$70,"ERROR"))</f>
        <v>2025-07-19T01:33:03.035Z</v>
      </c>
      <c r="O6" t="str">
        <f>IF(ISNA(J6),"--",_xlfn.XLOOKUP($M6,'SSP2-4.5'!$A$2:$A$70,'SSP2-4.5'!$C$2:$C$70,"ERROR"))</f>
        <v>2025-07-19T07:09:44.844Z</v>
      </c>
      <c r="P6" t="str">
        <f>IF(ISNA(K6),"--",_xlfn.XLOOKUP($M6,'SSP3-7.0'!$A$2:$A$70,'SSP3-7.0'!$C$2:$C$70,"ERROR"))</f>
        <v>2025-07-19T12:45:28.809Z</v>
      </c>
      <c r="Q6" t="str">
        <f>IF(ISNA(L6),"--",_xlfn.XLOOKUP($M6,'SSP5-8.5'!$A$2:$A$70,'SSP5-8.5'!$C$2:$C$70,"ERROR"))</f>
        <v>--</v>
      </c>
    </row>
    <row r="7" spans="1:17" x14ac:dyDescent="0.2">
      <c r="A7">
        <v>6</v>
      </c>
      <c r="B7" t="s">
        <v>175</v>
      </c>
      <c r="C7" t="s">
        <v>281</v>
      </c>
      <c r="D7" t="s">
        <v>345</v>
      </c>
      <c r="E7" t="s">
        <v>346</v>
      </c>
      <c r="F7" t="s">
        <v>347</v>
      </c>
      <c r="G7">
        <v>6.6813172349999999</v>
      </c>
      <c r="H7">
        <v>1</v>
      </c>
      <c r="I7">
        <v>0</v>
      </c>
      <c r="J7">
        <v>4</v>
      </c>
      <c r="K7">
        <v>7</v>
      </c>
      <c r="L7">
        <v>8</v>
      </c>
      <c r="M7" t="s">
        <v>258</v>
      </c>
      <c r="N7" t="str">
        <f>IF(ISNA(I7),"--",_xlfn.XLOOKUP($M7,Historical!$A$2:$A$70,Historical!$C$2:$C$70,"ERROR"))</f>
        <v>2025-07-19T01:22:36.215Z</v>
      </c>
      <c r="O7" t="str">
        <f>IF(ISNA(J7),"--",_xlfn.XLOOKUP($M7,'SSP2-4.5'!$A$2:$A$70,'SSP2-4.5'!$C$2:$C$70,"ERROR"))</f>
        <v>2025-07-19T06:56:16.993Z</v>
      </c>
      <c r="P7" t="str">
        <f>IF(ISNA(K7),"--",_xlfn.XLOOKUP($M7,'SSP3-7.0'!$A$2:$A$70,'SSP3-7.0'!$C$2:$C$70,"ERROR"))</f>
        <v>2025-07-19T12:28:19.480Z</v>
      </c>
      <c r="Q7" t="str">
        <f>IF(ISNA(L7),"--",_xlfn.XLOOKUP($M7,'SSP5-8.5'!$A$2:$A$70,'SSP5-8.5'!$C$2:$C$70,"ERROR"))</f>
        <v>2025-07-19T17:59:57.033Z</v>
      </c>
    </row>
    <row r="8" spans="1:17" x14ac:dyDescent="0.2">
      <c r="A8">
        <v>7</v>
      </c>
      <c r="B8" t="s">
        <v>174</v>
      </c>
      <c r="C8" t="s">
        <v>281</v>
      </c>
      <c r="D8" t="s">
        <v>345</v>
      </c>
      <c r="E8" t="s">
        <v>346</v>
      </c>
      <c r="F8" t="s">
        <v>347</v>
      </c>
      <c r="G8">
        <v>6.9907081189999998</v>
      </c>
      <c r="H8">
        <v>1</v>
      </c>
      <c r="I8">
        <v>0</v>
      </c>
      <c r="J8" t="e">
        <f>NA()</f>
        <v>#N/A</v>
      </c>
      <c r="K8" t="e">
        <f>NA()</f>
        <v>#N/A</v>
      </c>
      <c r="L8">
        <v>8</v>
      </c>
      <c r="M8" t="s">
        <v>298</v>
      </c>
      <c r="N8" t="str">
        <f>IF(ISNA(I8),"--",_xlfn.XLOOKUP($M8,Historical!$A$2:$A$70,Historical!$C$2:$C$70,"ERROR"))</f>
        <v>2025-07-19T21:28:43.171Z</v>
      </c>
      <c r="O8" t="str">
        <f>IF(ISNA(J8),"--",_xlfn.XLOOKUP($M8,'SSP2-4.5'!$A$2:$A$70,'SSP2-4.5'!$C$2:$C$70,"ERROR"))</f>
        <v>--</v>
      </c>
      <c r="P8" t="str">
        <f>IF(ISNA(K8),"--",_xlfn.XLOOKUP($M8,'SSP3-7.0'!$A$2:$A$70,'SSP3-7.0'!$C$2:$C$70,"ERROR"))</f>
        <v>--</v>
      </c>
      <c r="Q8" t="str">
        <f>IF(ISNA(L8),"--",_xlfn.XLOOKUP($M8,'SSP5-8.5'!$A$2:$A$70,'SSP5-8.5'!$C$2:$C$70,"ERROR"))</f>
        <v>2025-07-20T02:59:24.113Z</v>
      </c>
    </row>
    <row r="9" spans="1:17" x14ac:dyDescent="0.2">
      <c r="A9">
        <v>8</v>
      </c>
      <c r="B9" t="s">
        <v>183</v>
      </c>
      <c r="C9" t="s">
        <v>279</v>
      </c>
      <c r="D9" t="s">
        <v>345</v>
      </c>
      <c r="E9" t="s">
        <v>346</v>
      </c>
      <c r="F9" t="s">
        <v>347</v>
      </c>
      <c r="G9">
        <v>7.2380936719999998</v>
      </c>
      <c r="H9">
        <v>1</v>
      </c>
      <c r="I9">
        <v>0</v>
      </c>
      <c r="J9">
        <v>4</v>
      </c>
      <c r="K9">
        <v>7</v>
      </c>
      <c r="L9">
        <v>8</v>
      </c>
      <c r="M9" t="s">
        <v>289</v>
      </c>
      <c r="N9" t="str">
        <f>IF(ISNA(I9),"--",_xlfn.XLOOKUP($M9,Historical!$A$2:$A$70,Historical!$C$2:$C$70,"ERROR"))</f>
        <v>2025-07-19T21:32:52.304Z</v>
      </c>
      <c r="O9" t="str">
        <f>IF(ISNA(J9),"--",_xlfn.XLOOKUP($M9,'SSP2-4.5'!$A$2:$A$70,'SSP2-4.5'!$C$2:$C$70,"ERROR"))</f>
        <v>2025-07-20T03:05:59.447Z</v>
      </c>
      <c r="P9" t="str">
        <f>IF(ISNA(K9),"--",_xlfn.XLOOKUP($M9,'SSP3-7.0'!$A$2:$A$70,'SSP3-7.0'!$C$2:$C$70,"ERROR"))</f>
        <v>2025-07-20T08:34:26.619Z</v>
      </c>
      <c r="Q9" t="str">
        <f>IF(ISNA(L9),"--",_xlfn.XLOOKUP($M9,'SSP5-8.5'!$A$2:$A$70,'SSP5-8.5'!$C$2:$C$70,"ERROR"))</f>
        <v>2025-07-20T13:59:56.478Z</v>
      </c>
    </row>
    <row r="10" spans="1:17" x14ac:dyDescent="0.2">
      <c r="A10">
        <v>9</v>
      </c>
      <c r="B10" t="s">
        <v>187</v>
      </c>
      <c r="C10" t="s">
        <v>279</v>
      </c>
      <c r="D10" t="s">
        <v>345</v>
      </c>
      <c r="E10" t="s">
        <v>346</v>
      </c>
      <c r="F10" t="s">
        <v>347</v>
      </c>
      <c r="G10">
        <v>8.1657822650000007</v>
      </c>
      <c r="H10">
        <v>1</v>
      </c>
      <c r="I10">
        <v>0</v>
      </c>
      <c r="J10">
        <v>4</v>
      </c>
      <c r="K10">
        <v>7</v>
      </c>
      <c r="L10">
        <v>8</v>
      </c>
      <c r="M10" t="s">
        <v>293</v>
      </c>
      <c r="N10" t="str">
        <f>IF(ISNA(I10),"--",_xlfn.XLOOKUP($M10,Historical!$A$2:$A$70,Historical!$C$2:$C$70,"ERROR"))</f>
        <v>2025-07-20T23:02:51.509Z</v>
      </c>
      <c r="O10" t="str">
        <f>IF(ISNA(J10),"--",_xlfn.XLOOKUP($M10,'SSP2-4.5'!$A$2:$A$70,'SSP2-4.5'!$C$2:$C$70,"ERROR"))</f>
        <v>2025-07-21T04:34:36.773Z</v>
      </c>
      <c r="P10" t="str">
        <f>IF(ISNA(K10),"--",_xlfn.XLOOKUP($M10,'SSP3-7.0'!$A$2:$A$70,'SSP3-7.0'!$C$2:$C$70,"ERROR"))</f>
        <v>2025-07-21T10:00:41.574Z</v>
      </c>
      <c r="Q10" t="str">
        <f>IF(ISNA(L10),"--",_xlfn.XLOOKUP($M10,'SSP5-8.5'!$A$2:$A$70,'SSP5-8.5'!$C$2:$C$70,"ERROR"))</f>
        <v>2025-07-21T15:49:37.420Z</v>
      </c>
    </row>
    <row r="11" spans="1:17" x14ac:dyDescent="0.2">
      <c r="A11">
        <v>10</v>
      </c>
      <c r="B11" t="s">
        <v>190</v>
      </c>
      <c r="C11" t="s">
        <v>285</v>
      </c>
      <c r="D11" t="s">
        <v>345</v>
      </c>
      <c r="E11" t="s">
        <v>346</v>
      </c>
      <c r="F11" t="s">
        <v>347</v>
      </c>
      <c r="G11">
        <v>9.3994680699999993</v>
      </c>
      <c r="H11">
        <v>1</v>
      </c>
      <c r="I11">
        <v>0</v>
      </c>
      <c r="J11" t="e">
        <f>NA()</f>
        <v>#N/A</v>
      </c>
      <c r="K11">
        <v>7</v>
      </c>
      <c r="L11" t="e">
        <f>NA()</f>
        <v>#N/A</v>
      </c>
      <c r="M11" t="s">
        <v>256</v>
      </c>
      <c r="N11" t="str">
        <f>IF(ISNA(I11),"--",_xlfn.XLOOKUP($M11,Historical!$A$2:$A$70,Historical!$C$2:$C$70,"ERROR"))</f>
        <v>2025-07-20T23:01:23.705Z</v>
      </c>
      <c r="O11" t="str">
        <f>IF(ISNA(J11),"--",_xlfn.XLOOKUP($M11,'SSP2-4.5'!$A$2:$A$70,'SSP2-4.5'!$C$2:$C$70,"ERROR"))</f>
        <v>--</v>
      </c>
      <c r="P11" t="str">
        <f>IF(ISNA(K11),"--",_xlfn.XLOOKUP($M11,'SSP3-7.0'!$A$2:$A$70,'SSP3-7.0'!$C$2:$C$70,"ERROR"))</f>
        <v>2025-07-21T04:31:06.117Z</v>
      </c>
      <c r="Q11" t="str">
        <f>IF(ISNA(L11),"--",_xlfn.XLOOKUP($M11,'SSP5-8.5'!$A$2:$A$70,'SSP5-8.5'!$C$2:$C$70,"ERROR"))</f>
        <v>--</v>
      </c>
    </row>
    <row r="12" spans="1:17" x14ac:dyDescent="0.2">
      <c r="A12">
        <v>11</v>
      </c>
      <c r="B12" t="s">
        <v>184</v>
      </c>
      <c r="C12" t="s">
        <v>280</v>
      </c>
      <c r="D12" t="s">
        <v>345</v>
      </c>
      <c r="E12" t="s">
        <v>346</v>
      </c>
      <c r="F12" t="s">
        <v>347</v>
      </c>
      <c r="G12">
        <v>9.5958324289999997</v>
      </c>
      <c r="H12">
        <v>1</v>
      </c>
      <c r="I12">
        <v>0</v>
      </c>
      <c r="J12" t="e">
        <f>NA()</f>
        <v>#N/A</v>
      </c>
      <c r="K12">
        <v>7</v>
      </c>
      <c r="L12" t="e">
        <f>NA()</f>
        <v>#N/A</v>
      </c>
      <c r="M12" t="s">
        <v>290</v>
      </c>
      <c r="N12" t="str">
        <f>IF(ISNA(I12),"--",_xlfn.XLOOKUP($M12,Historical!$A$2:$A$70,Historical!$C$2:$C$70,"ERROR"))</f>
        <v>2025-07-21T23:19:40.050Z</v>
      </c>
      <c r="O12" t="str">
        <f>IF(ISNA(J12),"--",_xlfn.XLOOKUP($M12,'SSP2-4.5'!$A$2:$A$70,'SSP2-4.5'!$C$2:$C$70,"ERROR"))</f>
        <v>--</v>
      </c>
      <c r="P12" t="str">
        <f>IF(ISNA(K12),"--",_xlfn.XLOOKUP($M12,'SSP3-7.0'!$A$2:$A$70,'SSP3-7.0'!$C$2:$C$70,"ERROR"))</f>
        <v>2025-07-22T04:53:53.035Z</v>
      </c>
      <c r="Q12" t="str">
        <f>IF(ISNA(L12),"--",_xlfn.XLOOKUP($M12,'SSP5-8.5'!$A$2:$A$70,'SSP5-8.5'!$C$2:$C$70,"ERROR"))</f>
        <v>--</v>
      </c>
    </row>
    <row r="13" spans="1:17" x14ac:dyDescent="0.2">
      <c r="A13">
        <v>12</v>
      </c>
      <c r="B13" t="s">
        <v>182</v>
      </c>
      <c r="C13" t="s">
        <v>297</v>
      </c>
      <c r="D13" t="s">
        <v>345</v>
      </c>
      <c r="E13" t="s">
        <v>346</v>
      </c>
      <c r="F13" t="s">
        <v>347</v>
      </c>
      <c r="G13">
        <v>9.7308786860000005</v>
      </c>
      <c r="H13">
        <v>1</v>
      </c>
      <c r="I13">
        <v>0</v>
      </c>
      <c r="J13" t="e">
        <f>NA()</f>
        <v>#N/A</v>
      </c>
      <c r="K13" t="e">
        <f>NA()</f>
        <v>#N/A</v>
      </c>
      <c r="L13">
        <v>8</v>
      </c>
      <c r="M13" t="s">
        <v>301</v>
      </c>
      <c r="N13" t="str">
        <f>IF(ISNA(I13),"--",_xlfn.XLOOKUP($M13,Historical!$A$2:$A$70,Historical!$C$2:$C$70,"ERROR"))</f>
        <v>2025-07-21T23:18:06.214Z</v>
      </c>
      <c r="O13" t="str">
        <f>IF(ISNA(J13),"--",_xlfn.XLOOKUP($M13,'SSP2-4.5'!$A$2:$A$70,'SSP2-4.5'!$C$2:$C$70,"ERROR"))</f>
        <v>--</v>
      </c>
      <c r="P13" t="str">
        <f>IF(ISNA(K13),"--",_xlfn.XLOOKUP($M13,'SSP3-7.0'!$A$2:$A$70,'SSP3-7.0'!$C$2:$C$70,"ERROR"))</f>
        <v>--</v>
      </c>
      <c r="Q13" t="str">
        <f>IF(ISNA(L13),"--",_xlfn.XLOOKUP($M13,'SSP5-8.5'!$A$2:$A$70,'SSP5-8.5'!$C$2:$C$70,"ERROR"))</f>
        <v>2025-07-22T04:59:28.440Z</v>
      </c>
    </row>
    <row r="14" spans="1:17" x14ac:dyDescent="0.2">
      <c r="A14">
        <v>13</v>
      </c>
      <c r="B14" t="s">
        <v>191</v>
      </c>
      <c r="C14" t="s">
        <v>283</v>
      </c>
      <c r="D14" t="s">
        <v>345</v>
      </c>
      <c r="E14" t="s">
        <v>346</v>
      </c>
      <c r="F14" t="s">
        <v>347</v>
      </c>
      <c r="G14">
        <v>9.9020199959999999</v>
      </c>
      <c r="H14">
        <v>1</v>
      </c>
      <c r="I14">
        <v>0</v>
      </c>
      <c r="J14">
        <v>4</v>
      </c>
      <c r="K14" t="e">
        <f>NA()</f>
        <v>#N/A</v>
      </c>
      <c r="L14" t="e">
        <f>NA()</f>
        <v>#N/A</v>
      </c>
      <c r="M14" t="s">
        <v>330</v>
      </c>
      <c r="N14" t="str">
        <f>IF(ISNA(I14),"--",_xlfn.XLOOKUP($M14,Historical!$A$2:$A$70,Historical!$C$2:$C$70,"ERROR"))</f>
        <v>2025-07-22T22:03:45.693Z</v>
      </c>
      <c r="O14" t="str">
        <f>IF(ISNA(J14),"--",_xlfn.XLOOKUP($M14,'SSP2-4.5'!$A$2:$A$70,'SSP2-4.5'!$C$2:$C$70,"ERROR"))</f>
        <v>2025-07-23T03:56:03.793Z</v>
      </c>
      <c r="P14" t="str">
        <f>IF(ISNA(K14),"--",_xlfn.XLOOKUP($M14,'SSP3-7.0'!$A$2:$A$70,'SSP3-7.0'!$C$2:$C$70,"ERROR"))</f>
        <v>--</v>
      </c>
      <c r="Q14" t="str">
        <f>IF(ISNA(L14),"--",_xlfn.XLOOKUP($M14,'SSP5-8.5'!$A$2:$A$70,'SSP5-8.5'!$C$2:$C$70,"ERROR"))</f>
        <v>--</v>
      </c>
    </row>
    <row r="15" spans="1:17" x14ac:dyDescent="0.2">
      <c r="A15">
        <v>14</v>
      </c>
      <c r="B15" t="s">
        <v>178</v>
      </c>
      <c r="C15" t="s">
        <v>282</v>
      </c>
      <c r="D15" t="s">
        <v>345</v>
      </c>
      <c r="E15" t="s">
        <v>346</v>
      </c>
      <c r="F15" t="s">
        <v>347</v>
      </c>
      <c r="G15">
        <v>9.9307602930000005</v>
      </c>
      <c r="H15">
        <v>1</v>
      </c>
      <c r="I15">
        <v>0</v>
      </c>
      <c r="J15">
        <v>4</v>
      </c>
      <c r="K15">
        <v>7</v>
      </c>
      <c r="L15">
        <v>8</v>
      </c>
      <c r="M15" t="s">
        <v>287</v>
      </c>
      <c r="N15" t="str">
        <f>IF(ISNA(I15),"--",_xlfn.XLOOKUP($M15,Historical!$A$2:$A$70,Historical!$C$2:$C$70,"ERROR"))</f>
        <v>2025-07-22T22:06:36.213Z</v>
      </c>
      <c r="O15" t="str">
        <f>IF(ISNA(J15),"--",_xlfn.XLOOKUP($M15,'SSP2-4.5'!$A$2:$A$70,'SSP2-4.5'!$C$2:$C$70,"ERROR"))</f>
        <v>2025-07-23T04:00:00.478Z</v>
      </c>
      <c r="P15" t="str">
        <f>IF(ISNA(K15),"--",_xlfn.XLOOKUP($M15,'SSP3-7.0'!$A$2:$A$70,'SSP3-7.0'!$C$2:$C$70,"ERROR"))</f>
        <v>2025-07-23T09:48:51.958Z</v>
      </c>
      <c r="Q15" t="str">
        <f>IF(ISNA(L15),"--",_xlfn.XLOOKUP($M15,'SSP5-8.5'!$A$2:$A$70,'SSP5-8.5'!$C$2:$C$70,"ERROR"))</f>
        <v>2025-07-23T15:36:31.387Z</v>
      </c>
    </row>
    <row r="16" spans="1:17" x14ac:dyDescent="0.2">
      <c r="A16">
        <v>15</v>
      </c>
      <c r="B16" t="s">
        <v>168</v>
      </c>
      <c r="C16" t="s">
        <v>279</v>
      </c>
      <c r="D16" t="s">
        <v>345</v>
      </c>
      <c r="E16" t="s">
        <v>346</v>
      </c>
      <c r="F16" t="s">
        <v>347</v>
      </c>
      <c r="G16">
        <v>10.08612909</v>
      </c>
      <c r="H16">
        <v>1</v>
      </c>
      <c r="I16">
        <v>0</v>
      </c>
      <c r="J16">
        <v>4</v>
      </c>
      <c r="K16">
        <v>7</v>
      </c>
      <c r="L16">
        <v>8</v>
      </c>
      <c r="M16" t="s">
        <v>255</v>
      </c>
      <c r="N16" t="str">
        <f>IF(ISNA(I16),"--",_xlfn.XLOOKUP($M16,Historical!$A$2:$A$70,Historical!$C$2:$C$70,"ERROR"))</f>
        <v>2025-07-22T22:14:55.100Z</v>
      </c>
      <c r="O16" t="str">
        <f>IF(ISNA(J16),"--",_xlfn.XLOOKUP($M16,'SSP2-4.5'!$A$2:$A$70,'SSP2-4.5'!$C$2:$C$70,"ERROR"))</f>
        <v>2025-07-23T04:03:17.082Z</v>
      </c>
      <c r="P16" t="str">
        <f>IF(ISNA(K16),"--",_xlfn.XLOOKUP($M16,'SSP3-7.0'!$A$2:$A$70,'SSP3-7.0'!$C$2:$C$70,"ERROR"))</f>
        <v>2025-07-23T09:52:27.697Z</v>
      </c>
      <c r="Q16" t="str">
        <f>IF(ISNA(L16),"--",_xlfn.XLOOKUP($M16,'SSP5-8.5'!$A$2:$A$70,'SSP5-8.5'!$C$2:$C$70,"ERROR"))</f>
        <v>2025-07-23T15:36:32.651Z</v>
      </c>
    </row>
    <row r="17" spans="1:17" x14ac:dyDescent="0.2">
      <c r="A17">
        <v>16</v>
      </c>
      <c r="B17" t="s">
        <v>181</v>
      </c>
      <c r="C17" t="s">
        <v>296</v>
      </c>
      <c r="D17" t="s">
        <v>345</v>
      </c>
      <c r="E17" t="s">
        <v>346</v>
      </c>
      <c r="F17" t="s">
        <v>347</v>
      </c>
      <c r="G17">
        <v>10.124722220000001</v>
      </c>
      <c r="H17">
        <v>1</v>
      </c>
      <c r="I17">
        <v>0</v>
      </c>
      <c r="J17" t="e">
        <f>NA()</f>
        <v>#N/A</v>
      </c>
      <c r="K17" t="e">
        <f>NA()</f>
        <v>#N/A</v>
      </c>
      <c r="L17">
        <v>8</v>
      </c>
      <c r="M17" t="s">
        <v>300</v>
      </c>
      <c r="N17" t="str">
        <f>IF(ISNA(I17),"--",_xlfn.XLOOKUP($M17,Historical!$A$2:$A$70,Historical!$C$2:$C$70,"ERROR"))</f>
        <v>2025-07-22T22:16:05.317Z</v>
      </c>
      <c r="O17" t="str">
        <f>IF(ISNA(J17),"--",_xlfn.XLOOKUP($M17,'SSP2-4.5'!$A$2:$A$70,'SSP2-4.5'!$C$2:$C$70,"ERROR"))</f>
        <v>--</v>
      </c>
      <c r="P17" t="str">
        <f>IF(ISNA(K17),"--",_xlfn.XLOOKUP($M17,'SSP3-7.0'!$A$2:$A$70,'SSP3-7.0'!$C$2:$C$70,"ERROR"))</f>
        <v>--</v>
      </c>
      <c r="Q17" t="str">
        <f>IF(ISNA(L17),"--",_xlfn.XLOOKUP($M17,'SSP5-8.5'!$A$2:$A$70,'SSP5-8.5'!$C$2:$C$70,"ERROR"))</f>
        <v>2025-07-23T08:24:47.196Z</v>
      </c>
    </row>
    <row r="18" spans="1:17" x14ac:dyDescent="0.2">
      <c r="A18">
        <v>17</v>
      </c>
      <c r="B18" t="s">
        <v>176</v>
      </c>
      <c r="C18" t="s">
        <v>283</v>
      </c>
      <c r="D18" t="s">
        <v>345</v>
      </c>
      <c r="E18" t="s">
        <v>346</v>
      </c>
      <c r="F18" t="s">
        <v>347</v>
      </c>
      <c r="G18">
        <v>10.146427940000001</v>
      </c>
      <c r="H18">
        <v>1</v>
      </c>
      <c r="I18">
        <v>0</v>
      </c>
      <c r="J18">
        <v>4</v>
      </c>
      <c r="K18" t="e">
        <f>NA()</f>
        <v>#N/A</v>
      </c>
      <c r="L18" t="e">
        <f>NA()</f>
        <v>#N/A</v>
      </c>
      <c r="M18" t="s">
        <v>329</v>
      </c>
      <c r="N18" t="str">
        <f>IF(ISNA(I18),"--",_xlfn.XLOOKUP($M18,Historical!$A$2:$A$70,Historical!$C$2:$C$70,"ERROR"))</f>
        <v>2025-07-23T02:37:38.094Z</v>
      </c>
      <c r="O18" t="str">
        <f>IF(ISNA(J18),"--",_xlfn.XLOOKUP($M18,'SSP2-4.5'!$A$2:$A$70,'SSP2-4.5'!$C$2:$C$70,"ERROR"))</f>
        <v>2025-07-23T14:08:33.373Z</v>
      </c>
      <c r="P18" t="str">
        <f>IF(ISNA(K18),"--",_xlfn.XLOOKUP($M18,'SSP3-7.0'!$A$2:$A$70,'SSP3-7.0'!$C$2:$C$70,"ERROR"))</f>
        <v>--</v>
      </c>
      <c r="Q18" t="str">
        <f>IF(ISNA(L18),"--",_xlfn.XLOOKUP($M18,'SSP5-8.5'!$A$2:$A$70,'SSP5-8.5'!$C$2:$C$70,"ERROR"))</f>
        <v>--</v>
      </c>
    </row>
    <row r="19" spans="1:17" x14ac:dyDescent="0.2">
      <c r="A19">
        <v>18</v>
      </c>
      <c r="B19" t="s">
        <v>192</v>
      </c>
      <c r="C19" t="s">
        <v>283</v>
      </c>
      <c r="D19" t="s">
        <v>345</v>
      </c>
      <c r="E19" t="s">
        <v>346</v>
      </c>
      <c r="F19" t="s">
        <v>347</v>
      </c>
      <c r="G19">
        <v>10.24695077</v>
      </c>
      <c r="H19">
        <v>1</v>
      </c>
      <c r="I19">
        <v>0</v>
      </c>
      <c r="J19">
        <v>4</v>
      </c>
      <c r="K19" t="e">
        <f>NA()</f>
        <v>#N/A</v>
      </c>
      <c r="L19" t="e">
        <f>NA()</f>
        <v>#N/A</v>
      </c>
      <c r="M19" t="s">
        <v>332</v>
      </c>
      <c r="N19" t="str">
        <f>IF(ISNA(I19),"--",_xlfn.XLOOKUP($M19,Historical!$A$2:$A$70,Historical!$C$2:$C$70,"ERROR"))</f>
        <v>2025-07-23T21:21:59.666Z</v>
      </c>
      <c r="O19" t="str">
        <f>IF(ISNA(J19),"--",_xlfn.XLOOKUP($M19,'SSP2-4.5'!$A$2:$A$70,'SSP2-4.5'!$C$2:$C$70,"ERROR"))</f>
        <v>2025-07-24T07:30:35.070Z</v>
      </c>
      <c r="P19" t="str">
        <f>IF(ISNA(K19),"--",_xlfn.XLOOKUP($M19,'SSP3-7.0'!$A$2:$A$70,'SSP3-7.0'!$C$2:$C$70,"ERROR"))</f>
        <v>--</v>
      </c>
      <c r="Q19" t="str">
        <f>IF(ISNA(L19),"--",_xlfn.XLOOKUP($M19,'SSP5-8.5'!$A$2:$A$70,'SSP5-8.5'!$C$2:$C$70,"ERROR"))</f>
        <v>--</v>
      </c>
    </row>
    <row r="20" spans="1:17" x14ac:dyDescent="0.2">
      <c r="A20">
        <v>19</v>
      </c>
      <c r="B20" t="s">
        <v>171</v>
      </c>
      <c r="C20" t="s">
        <v>279</v>
      </c>
      <c r="D20" t="s">
        <v>345</v>
      </c>
      <c r="E20" t="s">
        <v>346</v>
      </c>
      <c r="F20" t="s">
        <v>347</v>
      </c>
      <c r="G20">
        <v>10.59528197</v>
      </c>
      <c r="H20">
        <v>1</v>
      </c>
      <c r="I20">
        <v>0</v>
      </c>
      <c r="J20">
        <v>4</v>
      </c>
      <c r="K20">
        <v>7</v>
      </c>
      <c r="L20">
        <v>8</v>
      </c>
      <c r="M20" t="s">
        <v>253</v>
      </c>
      <c r="N20" t="str">
        <f>IF(ISNA(I20),"--",_xlfn.XLOOKUP($M20,Historical!$A$2:$A$70,Historical!$C$2:$C$70,"ERROR"))</f>
        <v>2025-07-23T21:27:23.092Z</v>
      </c>
      <c r="O20" t="str">
        <f>IF(ISNA(J20),"--",_xlfn.XLOOKUP($M20,'SSP2-4.5'!$A$2:$A$70,'SSP2-4.5'!$C$2:$C$70,"ERROR"))</f>
        <v>2025-07-24T03:21:50.035Z</v>
      </c>
      <c r="P20" t="str">
        <f>IF(ISNA(K20),"--",_xlfn.XLOOKUP($M20,'SSP3-7.0'!$A$2:$A$70,'SSP3-7.0'!$C$2:$C$70,"ERROR"))</f>
        <v>2025-07-24T09:15:39.604Z</v>
      </c>
      <c r="Q20" t="str">
        <f>IF(ISNA(L20),"--",_xlfn.XLOOKUP($M20,'SSP5-8.5'!$A$2:$A$70,'SSP5-8.5'!$C$2:$C$70,"ERROR"))</f>
        <v>2025-07-24T15:05:04.124Z</v>
      </c>
    </row>
    <row r="21" spans="1:17" x14ac:dyDescent="0.2">
      <c r="A21">
        <v>20</v>
      </c>
      <c r="B21" t="s">
        <v>167</v>
      </c>
      <c r="C21" t="s">
        <v>279</v>
      </c>
      <c r="D21" t="s">
        <v>345</v>
      </c>
      <c r="E21" t="s">
        <v>346</v>
      </c>
      <c r="F21" t="s">
        <v>347</v>
      </c>
      <c r="G21">
        <v>10.657391799999999</v>
      </c>
      <c r="H21">
        <v>1</v>
      </c>
      <c r="I21">
        <v>0</v>
      </c>
      <c r="J21">
        <v>4</v>
      </c>
      <c r="K21">
        <v>7</v>
      </c>
      <c r="L21">
        <v>8</v>
      </c>
      <c r="M21" t="s">
        <v>254</v>
      </c>
      <c r="N21" t="str">
        <f>IF(ISNA(I21),"--",_xlfn.XLOOKUP($M21,Historical!$A$2:$A$70,Historical!$C$2:$C$70,"ERROR"))</f>
        <v>2025-07-23T21:19:26.082Z</v>
      </c>
      <c r="O21" t="str">
        <f>IF(ISNA(J21),"--",_xlfn.XLOOKUP($M21,'SSP2-4.5'!$A$2:$A$70,'SSP2-4.5'!$C$2:$C$70,"ERROR"))</f>
        <v>2025-07-24T03:08:55.616Z</v>
      </c>
      <c r="P21" t="str">
        <f>IF(ISNA(K21),"--",_xlfn.XLOOKUP($M21,'SSP3-7.0'!$A$2:$A$70,'SSP3-7.0'!$C$2:$C$70,"ERROR"))</f>
        <v>2025-07-24T08:58:57.515Z</v>
      </c>
      <c r="Q21" t="str">
        <f>IF(ISNA(L21),"--",_xlfn.XLOOKUP($M21,'SSP5-8.5'!$A$2:$A$70,'SSP5-8.5'!$C$2:$C$70,"ERROR"))</f>
        <v>2025-07-24T14:45:43.813Z</v>
      </c>
    </row>
    <row r="22" spans="1:17" x14ac:dyDescent="0.2">
      <c r="A22">
        <v>21</v>
      </c>
      <c r="B22" t="s">
        <v>172</v>
      </c>
      <c r="C22" t="s">
        <v>280</v>
      </c>
      <c r="D22" t="s">
        <v>345</v>
      </c>
      <c r="E22" t="s">
        <v>346</v>
      </c>
      <c r="F22" t="s">
        <v>347</v>
      </c>
      <c r="G22">
        <v>10.875201150000001</v>
      </c>
      <c r="H22">
        <v>1</v>
      </c>
      <c r="I22">
        <v>0</v>
      </c>
      <c r="J22" t="e">
        <f>NA()</f>
        <v>#N/A</v>
      </c>
      <c r="K22">
        <v>7</v>
      </c>
      <c r="L22" t="e">
        <f>NA()</f>
        <v>#N/A</v>
      </c>
      <c r="M22" t="s">
        <v>252</v>
      </c>
      <c r="N22" t="str">
        <f>IF(ISNA(I22),"--",_xlfn.XLOOKUP($M22,Historical!$A$2:$A$70,Historical!$C$2:$C$70,"ERROR"))</f>
        <v>2025-07-24T01:47:07.387Z</v>
      </c>
      <c r="O22" t="str">
        <f>IF(ISNA(J22),"--",_xlfn.XLOOKUP($M22,'SSP2-4.5'!$A$2:$A$70,'SSP2-4.5'!$C$2:$C$70,"ERROR"))</f>
        <v>--</v>
      </c>
      <c r="P22" t="str">
        <f>IF(ISNA(K22),"--",_xlfn.XLOOKUP($M22,'SSP3-7.0'!$A$2:$A$70,'SSP3-7.0'!$C$2:$C$70,"ERROR"))</f>
        <v>2025-07-24T13:14:17.214Z</v>
      </c>
      <c r="Q22" t="str">
        <f>IF(ISNA(L22),"--",_xlfn.XLOOKUP($M22,'SSP5-8.5'!$A$2:$A$70,'SSP5-8.5'!$C$2:$C$70,"ERROR"))</f>
        <v>--</v>
      </c>
    </row>
    <row r="23" spans="1:17" x14ac:dyDescent="0.2">
      <c r="A23">
        <v>22</v>
      </c>
      <c r="B23" t="s">
        <v>185</v>
      </c>
      <c r="C23" t="s">
        <v>282</v>
      </c>
      <c r="D23" t="s">
        <v>345</v>
      </c>
      <c r="E23" t="s">
        <v>346</v>
      </c>
      <c r="F23" t="s">
        <v>347</v>
      </c>
      <c r="G23">
        <v>10.90091739</v>
      </c>
      <c r="H23">
        <v>1</v>
      </c>
      <c r="I23">
        <v>0</v>
      </c>
      <c r="J23">
        <v>4</v>
      </c>
      <c r="K23">
        <v>7</v>
      </c>
      <c r="L23">
        <v>8</v>
      </c>
      <c r="M23" t="s">
        <v>291</v>
      </c>
      <c r="N23" t="str">
        <f>IF(ISNA(I23),"--",_xlfn.XLOOKUP($M23,Historical!$A$2:$A$70,Historical!$C$2:$C$70,"ERROR"))</f>
        <v>2025-07-23T21:32:40.430Z</v>
      </c>
      <c r="O23" t="str">
        <f>IF(ISNA(J23),"--",_xlfn.XLOOKUP($M23,'SSP2-4.5'!$A$2:$A$70,'SSP2-4.5'!$C$2:$C$70,"ERROR"))</f>
        <v>2025-07-24T03:13:31.588Z</v>
      </c>
      <c r="P23" t="str">
        <f>IF(ISNA(K23),"--",_xlfn.XLOOKUP($M23,'SSP3-7.0'!$A$2:$A$70,'SSP3-7.0'!$C$2:$C$70,"ERROR"))</f>
        <v>2025-07-24T09:19:29.760Z</v>
      </c>
      <c r="Q23" t="str">
        <f>IF(ISNA(L23),"--",_xlfn.XLOOKUP($M23,'SSP5-8.5'!$A$2:$A$70,'SSP5-8.5'!$C$2:$C$70,"ERROR"))</f>
        <v>2025-07-24T14:55:37.066Z</v>
      </c>
    </row>
    <row r="24" spans="1:17" x14ac:dyDescent="0.2">
      <c r="A24">
        <v>23</v>
      </c>
      <c r="B24" t="s">
        <v>177</v>
      </c>
      <c r="C24" t="s">
        <v>280</v>
      </c>
      <c r="D24" t="s">
        <v>345</v>
      </c>
      <c r="E24" t="s">
        <v>346</v>
      </c>
      <c r="F24" t="s">
        <v>347</v>
      </c>
      <c r="G24">
        <v>10.940749520000001</v>
      </c>
      <c r="H24">
        <v>1</v>
      </c>
      <c r="I24">
        <v>0</v>
      </c>
      <c r="J24">
        <v>4</v>
      </c>
      <c r="K24">
        <v>7</v>
      </c>
      <c r="L24">
        <v>8</v>
      </c>
      <c r="M24" t="s">
        <v>286</v>
      </c>
      <c r="N24" t="str">
        <f>IF(ISNA(I24),"--",_xlfn.XLOOKUP($M24,Historical!$A$2:$A$70,Historical!$C$2:$C$70,"ERROR"))</f>
        <v>2025-07-25T02:23:28.420Z</v>
      </c>
      <c r="O24" t="str">
        <f>IF(ISNA(J24),"--",_xlfn.XLOOKUP($M24,'SSP2-4.5'!$A$2:$A$70,'SSP2-4.5'!$C$2:$C$70,"ERROR"))</f>
        <v>2025-07-25T08:21:19.704Z</v>
      </c>
      <c r="P24" t="str">
        <f>IF(ISNA(K24),"--",_xlfn.XLOOKUP($M24,'SSP3-7.0'!$A$2:$A$70,'SSP3-7.0'!$C$2:$C$70,"ERROR"))</f>
        <v>2025-07-25T14:00:42.946Z</v>
      </c>
      <c r="Q24" t="str">
        <f>IF(ISNA(L24),"--",_xlfn.XLOOKUP($M24,'SSP5-8.5'!$A$2:$A$70,'SSP5-8.5'!$C$2:$C$70,"ERROR"))</f>
        <v>2025-07-25T19:40:42.129Z</v>
      </c>
    </row>
    <row r="25" spans="1:17" x14ac:dyDescent="0.2">
      <c r="A25">
        <v>24</v>
      </c>
      <c r="B25" t="s">
        <v>186</v>
      </c>
      <c r="C25" t="s">
        <v>283</v>
      </c>
      <c r="D25" t="s">
        <v>345</v>
      </c>
      <c r="E25" t="s">
        <v>346</v>
      </c>
      <c r="F25" t="s">
        <v>347</v>
      </c>
      <c r="G25">
        <v>11.248110949999999</v>
      </c>
      <c r="H25">
        <v>1</v>
      </c>
      <c r="I25">
        <v>0</v>
      </c>
      <c r="J25">
        <v>4</v>
      </c>
      <c r="K25">
        <v>7</v>
      </c>
      <c r="L25">
        <v>8</v>
      </c>
      <c r="M25" t="s">
        <v>292</v>
      </c>
      <c r="N25" t="str">
        <f>IF(ISNA(I25),"--",_xlfn.XLOOKUP($M25,Historical!$A$2:$A$70,Historical!$C$2:$C$70,"ERROR"))</f>
        <v>2025-07-25T02:25:36.889Z</v>
      </c>
      <c r="O25" t="str">
        <f>IF(ISNA(J25),"--",_xlfn.XLOOKUP($M25,'SSP2-4.5'!$A$2:$A$70,'SSP2-4.5'!$C$2:$C$70,"ERROR"))</f>
        <v>2025-07-25T08:26:02.075Z</v>
      </c>
      <c r="P25" t="str">
        <f>IF(ISNA(K25),"--",_xlfn.XLOOKUP($M25,'SSP3-7.0'!$A$2:$A$70,'SSP3-7.0'!$C$2:$C$70,"ERROR"))</f>
        <v>2025-07-25T14:10:14.548Z</v>
      </c>
      <c r="Q25" t="str">
        <f>IF(ISNA(L25),"--",_xlfn.XLOOKUP($M25,'SSP5-8.5'!$A$2:$A$70,'SSP5-8.5'!$C$2:$C$70,"ERROR"))</f>
        <v>2025-07-25T19:52:26.120Z</v>
      </c>
    </row>
    <row r="26" spans="1:17" x14ac:dyDescent="0.2">
      <c r="A26">
        <v>25</v>
      </c>
      <c r="B26" t="s">
        <v>188</v>
      </c>
      <c r="C26" t="s">
        <v>284</v>
      </c>
      <c r="D26" t="s">
        <v>345</v>
      </c>
      <c r="E26" t="s">
        <v>346</v>
      </c>
      <c r="F26" t="s">
        <v>347</v>
      </c>
      <c r="G26">
        <v>11.56849169</v>
      </c>
      <c r="H26">
        <v>1</v>
      </c>
      <c r="I26">
        <v>0</v>
      </c>
      <c r="J26" t="e">
        <f>NA()</f>
        <v>#N/A</v>
      </c>
      <c r="K26">
        <v>7</v>
      </c>
      <c r="L26" t="e">
        <f>NA()</f>
        <v>#N/A</v>
      </c>
      <c r="M26" t="s">
        <v>294</v>
      </c>
      <c r="N26" t="str">
        <f>IF(ISNA(I26),"--",_xlfn.XLOOKUP($M26,Historical!$A$2:$A$70,Historical!$C$2:$C$70,"ERROR"))</f>
        <v>2025-07-25T02:34:45.616Z</v>
      </c>
      <c r="O26" t="str">
        <f>IF(ISNA(J26),"--",_xlfn.XLOOKUP($M26,'SSP2-4.5'!$A$2:$A$70,'SSP2-4.5'!$C$2:$C$70,"ERROR"))</f>
        <v>--</v>
      </c>
      <c r="P26" t="str">
        <f>IF(ISNA(K26),"--",_xlfn.XLOOKUP($M26,'SSP3-7.0'!$A$2:$A$70,'SSP3-7.0'!$C$2:$C$70,"ERROR"))</f>
        <v>2025-07-25T08:34:20.027Z</v>
      </c>
      <c r="Q26" t="str">
        <f>IF(ISNA(L26),"--",_xlfn.XLOOKUP($M26,'SSP5-8.5'!$A$2:$A$70,'SSP5-8.5'!$C$2:$C$70,"ERROR"))</f>
        <v>--</v>
      </c>
    </row>
    <row r="27" spans="1:17" x14ac:dyDescent="0.2">
      <c r="A27">
        <v>26</v>
      </c>
      <c r="B27" t="s">
        <v>189</v>
      </c>
      <c r="C27" t="s">
        <v>284</v>
      </c>
      <c r="D27" t="s">
        <v>345</v>
      </c>
      <c r="E27" t="s">
        <v>346</v>
      </c>
      <c r="F27" t="s">
        <v>347</v>
      </c>
      <c r="G27">
        <v>11.950732199999999</v>
      </c>
      <c r="H27">
        <v>1</v>
      </c>
      <c r="I27">
        <v>0</v>
      </c>
      <c r="J27">
        <v>4</v>
      </c>
      <c r="K27">
        <v>7</v>
      </c>
      <c r="L27">
        <v>8</v>
      </c>
      <c r="M27" t="s">
        <v>295</v>
      </c>
      <c r="N27" t="str">
        <f>IF(ISNA(I27),"--",_xlfn.XLOOKUP($M27,Historical!$A$2:$A$70,Historical!$C$2:$C$70,"ERROR"))</f>
        <v>2025-07-25T02:37:57.316Z</v>
      </c>
      <c r="O27" t="str">
        <f>IF(ISNA(J27),"--",_xlfn.XLOOKUP($M27,'SSP2-4.5'!$A$2:$A$70,'SSP2-4.5'!$C$2:$C$70,"ERROR"))</f>
        <v>2025-07-25T08:42:27.861Z</v>
      </c>
      <c r="P27" t="str">
        <f>IF(ISNA(K27),"--",_xlfn.XLOOKUP($M27,'SSP3-7.0'!$A$2:$A$70,'SSP3-7.0'!$C$2:$C$70,"ERROR"))</f>
        <v>2025-07-25T14:26:13.314Z</v>
      </c>
      <c r="Q27" t="str">
        <f>IF(ISNA(L27),"--",_xlfn.XLOOKUP($M27,'SSP5-8.5'!$A$2:$A$70,'SSP5-8.5'!$C$2:$C$70,"ERROR"))</f>
        <v>2023-07-04T05:38:14.435Z</v>
      </c>
    </row>
    <row r="28" spans="1:17" x14ac:dyDescent="0.2">
      <c r="A28">
        <v>27</v>
      </c>
      <c r="B28" t="s">
        <v>169</v>
      </c>
      <c r="C28" t="s">
        <v>279</v>
      </c>
      <c r="D28" t="s">
        <v>345</v>
      </c>
      <c r="E28" t="s">
        <v>346</v>
      </c>
      <c r="F28" t="s">
        <v>347</v>
      </c>
      <c r="G28">
        <v>11.980817999999999</v>
      </c>
      <c r="H28">
        <v>1</v>
      </c>
      <c r="I28">
        <v>0</v>
      </c>
      <c r="J28">
        <v>4</v>
      </c>
      <c r="K28">
        <v>7</v>
      </c>
      <c r="L28">
        <v>8</v>
      </c>
      <c r="M28" t="s">
        <v>250</v>
      </c>
      <c r="N28" t="str">
        <f>IF(ISNA(I28),"--",_xlfn.XLOOKUP($M28,Historical!$A$2:$A$70,Historical!$C$2:$C$70,"ERROR"))</f>
        <v>2025-07-26T03:04:58.472Z</v>
      </c>
      <c r="O28" t="str">
        <f>IF(ISNA(J28),"--",_xlfn.XLOOKUP($M28,'SSP2-4.5'!$A$2:$A$70,'SSP2-4.5'!$C$2:$C$70,"ERROR"))</f>
        <v>2025-07-26T08:54:10.031Z</v>
      </c>
      <c r="P28" t="str">
        <f>IF(ISNA(K28),"--",_xlfn.XLOOKUP($M28,'SSP3-7.0'!$A$2:$A$70,'SSP3-7.0'!$C$2:$C$70,"ERROR"))</f>
        <v>2025-07-26T14:37:23.877Z</v>
      </c>
      <c r="Q28" t="str">
        <f>IF(ISNA(L28),"--",_xlfn.XLOOKUP($M28,'SSP5-8.5'!$A$2:$A$70,'SSP5-8.5'!$C$2:$C$70,"ERROR"))</f>
        <v>2025-07-26T20:32:51.486Z</v>
      </c>
    </row>
    <row r="29" spans="1:17" hidden="1" x14ac:dyDescent="0.2">
      <c r="A29">
        <v>28</v>
      </c>
      <c r="B29" t="s">
        <v>184</v>
      </c>
      <c r="C29" t="s">
        <v>282</v>
      </c>
      <c r="D29" t="s">
        <v>345</v>
      </c>
      <c r="E29" t="s">
        <v>346</v>
      </c>
      <c r="F29" t="s">
        <v>347</v>
      </c>
      <c r="G29">
        <v>9.8483501160000007</v>
      </c>
      <c r="H29">
        <v>2</v>
      </c>
      <c r="I29">
        <v>0</v>
      </c>
      <c r="J29" t="e">
        <f>NA()</f>
        <v>#N/A</v>
      </c>
      <c r="K29">
        <v>7</v>
      </c>
      <c r="L29" t="e">
        <f>NA()</f>
        <v>#N/A</v>
      </c>
      <c r="M29" t="s">
        <v>311</v>
      </c>
      <c r="N29" t="str">
        <f>IF(ISNA(I29),"--",_xlfn.XLOOKUP($M29,Historical!$A$2:$A$70,Historical!$C$2:$C$70,"ERROR"))</f>
        <v>2025-07-26T03:09:57.928Z</v>
      </c>
      <c r="O29" t="str">
        <f>IF(ISNA(J29),"--",_xlfn.XLOOKUP($M29,'SSP2-4.5'!$A$2:$A$70,'SSP2-4.5'!$C$2:$C$70,"ERROR"))</f>
        <v>--</v>
      </c>
      <c r="P29" t="str">
        <f>IF(ISNA(K29),"--",_xlfn.XLOOKUP($M29,'SSP3-7.0'!$A$2:$A$70,'SSP3-7.0'!$C$2:$C$70,"ERROR"))</f>
        <v>2025-07-26T08:41:31.894Z</v>
      </c>
      <c r="Q29" t="str">
        <f>IF(ISNA(L29),"--",_xlfn.XLOOKUP($M29,'SSP5-8.5'!$A$2:$A$70,'SSP5-8.5'!$C$2:$C$70,"ERROR"))</f>
        <v>--</v>
      </c>
    </row>
    <row r="30" spans="1:17" hidden="1" x14ac:dyDescent="0.2">
      <c r="A30">
        <v>29</v>
      </c>
      <c r="B30" t="s">
        <v>178</v>
      </c>
      <c r="C30" t="s">
        <v>279</v>
      </c>
      <c r="D30" t="s">
        <v>345</v>
      </c>
      <c r="E30" t="s">
        <v>346</v>
      </c>
      <c r="F30" t="s">
        <v>347</v>
      </c>
      <c r="G30">
        <v>9.9428366169999993</v>
      </c>
      <c r="H30">
        <v>2</v>
      </c>
      <c r="I30">
        <v>0</v>
      </c>
      <c r="J30">
        <v>4</v>
      </c>
      <c r="K30">
        <v>7</v>
      </c>
      <c r="L30">
        <v>8</v>
      </c>
      <c r="M30" t="s">
        <v>308</v>
      </c>
      <c r="N30" t="str">
        <f>IF(ISNA(I30),"--",_xlfn.XLOOKUP($M30,Historical!$A$2:$A$70,Historical!$C$2:$C$70,"ERROR"))</f>
        <v>2025-07-26T03:07:58.121Z</v>
      </c>
      <c r="O30" t="str">
        <f>IF(ISNA(J30),"--",_xlfn.XLOOKUP($M30,'SSP2-4.5'!$A$2:$A$70,'SSP2-4.5'!$C$2:$C$70,"ERROR"))</f>
        <v>2025-07-26T08:59:56.317Z</v>
      </c>
      <c r="P30" t="str">
        <f>IF(ISNA(K30),"--",_xlfn.XLOOKUP($M30,'SSP3-7.0'!$A$2:$A$70,'SSP3-7.0'!$C$2:$C$70,"ERROR"))</f>
        <v>2025-07-26T14:44:29.759Z</v>
      </c>
      <c r="Q30" t="str">
        <f>IF(ISNA(L30),"--",_xlfn.XLOOKUP($M30,'SSP5-8.5'!$A$2:$A$70,'SSP5-8.5'!$C$2:$C$70,"ERROR"))</f>
        <v>2023-07-09T14:28:27.891Z</v>
      </c>
    </row>
    <row r="31" spans="1:17" hidden="1" x14ac:dyDescent="0.2">
      <c r="A31">
        <v>30</v>
      </c>
      <c r="B31" t="s">
        <v>190</v>
      </c>
      <c r="C31" t="s">
        <v>279</v>
      </c>
      <c r="D31" t="s">
        <v>345</v>
      </c>
      <c r="E31" t="s">
        <v>346</v>
      </c>
      <c r="F31" t="s">
        <v>347</v>
      </c>
      <c r="G31">
        <v>10.19313494</v>
      </c>
      <c r="H31">
        <v>2</v>
      </c>
      <c r="I31">
        <v>0</v>
      </c>
      <c r="J31">
        <v>4</v>
      </c>
      <c r="K31">
        <v>7</v>
      </c>
      <c r="L31">
        <v>8</v>
      </c>
      <c r="M31" t="s">
        <v>251</v>
      </c>
      <c r="N31" t="str">
        <f>IF(ISNA(I31),"--",_xlfn.XLOOKUP($M31,Historical!$A$2:$A$70,Historical!$C$2:$C$70,"ERROR"))</f>
        <v>2025-07-26T03:03:09.134Z</v>
      </c>
      <c r="O31" t="str">
        <f>IF(ISNA(J31),"--",_xlfn.XLOOKUP($M31,'SSP2-4.5'!$A$2:$A$70,'SSP2-4.5'!$C$2:$C$70,"ERROR"))</f>
        <v>2025-07-26T08:46:04.197Z</v>
      </c>
      <c r="P31" t="str">
        <f>IF(ISNA(K31),"--",_xlfn.XLOOKUP($M31,'SSP3-7.0'!$A$2:$A$70,'SSP3-7.0'!$C$2:$C$70,"ERROR"))</f>
        <v>2025-07-26T14:24:19.574Z</v>
      </c>
      <c r="Q31" t="str">
        <f>IF(ISNA(L31),"--",_xlfn.XLOOKUP($M31,'SSP5-8.5'!$A$2:$A$70,'SSP5-8.5'!$C$2:$C$70,"ERROR"))</f>
        <v>2025-07-26T20:14:36.451Z</v>
      </c>
    </row>
    <row r="32" spans="1:17" hidden="1" x14ac:dyDescent="0.2">
      <c r="A32">
        <v>31</v>
      </c>
      <c r="B32" t="s">
        <v>191</v>
      </c>
      <c r="C32" t="s">
        <v>282</v>
      </c>
      <c r="D32" t="s">
        <v>345</v>
      </c>
      <c r="E32" t="s">
        <v>346</v>
      </c>
      <c r="F32" t="s">
        <v>347</v>
      </c>
      <c r="G32">
        <v>10.250853620000001</v>
      </c>
      <c r="H32">
        <v>2</v>
      </c>
      <c r="I32">
        <v>0</v>
      </c>
      <c r="J32">
        <v>4</v>
      </c>
      <c r="K32" t="e">
        <f>NA()</f>
        <v>#N/A</v>
      </c>
      <c r="L32" t="e">
        <f>NA()</f>
        <v>#N/A</v>
      </c>
      <c r="M32" t="s">
        <v>331</v>
      </c>
      <c r="N32" t="str">
        <f>IF(ISNA(I32),"--",_xlfn.XLOOKUP($M32,Historical!$A$2:$A$70,Historical!$C$2:$C$70,"ERROR"))</f>
        <v>2023-06-07T01:36:58.307Z</v>
      </c>
      <c r="O32" t="str">
        <f>IF(ISNA(J32),"--",_xlfn.XLOOKUP($M32,'SSP2-4.5'!$A$2:$A$70,'SSP2-4.5'!$C$2:$C$70,"ERROR"))</f>
        <v>2023-06-07T05:00:58.868Z</v>
      </c>
      <c r="P32" t="str">
        <f>IF(ISNA(K32),"--",_xlfn.XLOOKUP($M32,'SSP3-7.0'!$A$2:$A$70,'SSP3-7.0'!$C$2:$C$70,"ERROR"))</f>
        <v>--</v>
      </c>
      <c r="Q32" t="str">
        <f>IF(ISNA(L32),"--",_xlfn.XLOOKUP($M32,'SSP5-8.5'!$A$2:$A$70,'SSP5-8.5'!$C$2:$C$70,"ERROR"))</f>
        <v>--</v>
      </c>
    </row>
    <row r="33" spans="1:17" hidden="1" x14ac:dyDescent="0.2">
      <c r="A33">
        <v>32</v>
      </c>
      <c r="B33" t="s">
        <v>182</v>
      </c>
      <c r="C33" t="s">
        <v>348</v>
      </c>
      <c r="D33" t="s">
        <v>345</v>
      </c>
      <c r="E33" t="s">
        <v>346</v>
      </c>
      <c r="F33" t="s">
        <v>347</v>
      </c>
      <c r="G33">
        <v>10.32375901</v>
      </c>
      <c r="H33">
        <v>2</v>
      </c>
      <c r="I33">
        <v>0</v>
      </c>
      <c r="J33" t="e">
        <f>NA()</f>
        <v>#N/A</v>
      </c>
      <c r="K33" t="e">
        <f>NA()</f>
        <v>#N/A</v>
      </c>
      <c r="L33">
        <v>8</v>
      </c>
      <c r="M33" t="s">
        <v>326</v>
      </c>
      <c r="N33" t="str">
        <f>IF(ISNA(I33),"--",_xlfn.XLOOKUP($M33,Historical!$A$2:$A$70,Historical!$C$2:$C$70,"ERROR"))</f>
        <v>2023-06-08T09:31:42.562Z</v>
      </c>
      <c r="O33" t="str">
        <f>IF(ISNA(J33),"--",_xlfn.XLOOKUP($M33,'SSP2-4.5'!$A$2:$A$70,'SSP2-4.5'!$C$2:$C$70,"ERROR"))</f>
        <v>--</v>
      </c>
      <c r="P33" t="str">
        <f>IF(ISNA(K33),"--",_xlfn.XLOOKUP($M33,'SSP3-7.0'!$A$2:$A$70,'SSP3-7.0'!$C$2:$C$70,"ERROR"))</f>
        <v>--</v>
      </c>
      <c r="Q33" t="str">
        <f>IF(ISNA(L33),"--",_xlfn.XLOOKUP($M33,'SSP5-8.5'!$A$2:$A$70,'SSP5-8.5'!$C$2:$C$70,"ERROR"))</f>
        <v>2023-06-08T14:42:41.111Z</v>
      </c>
    </row>
    <row r="34" spans="1:17" hidden="1" x14ac:dyDescent="0.2">
      <c r="A34">
        <v>33</v>
      </c>
      <c r="B34" t="s">
        <v>187</v>
      </c>
      <c r="C34" t="s">
        <v>283</v>
      </c>
      <c r="D34" t="s">
        <v>345</v>
      </c>
      <c r="E34" t="s">
        <v>346</v>
      </c>
      <c r="F34" t="s">
        <v>347</v>
      </c>
      <c r="G34">
        <v>10.39567218</v>
      </c>
      <c r="H34">
        <v>2</v>
      </c>
      <c r="I34">
        <v>0</v>
      </c>
      <c r="J34">
        <v>4</v>
      </c>
      <c r="K34">
        <v>7</v>
      </c>
      <c r="L34">
        <v>8</v>
      </c>
      <c r="M34" t="s">
        <v>317</v>
      </c>
      <c r="N34" t="str">
        <f>IF(ISNA(I34),"--",_xlfn.XLOOKUP($M34,Historical!$A$2:$A$70,Historical!$C$2:$C$70,"ERROR"))</f>
        <v>2023-06-08T18:26:33.679Z</v>
      </c>
      <c r="O34" t="str">
        <f>IF(ISNA(J34),"--",_xlfn.XLOOKUP($M34,'SSP2-4.5'!$A$2:$A$70,'SSP2-4.5'!$C$2:$C$70,"ERROR"))</f>
        <v>2023-06-08T23:39:17.619Z</v>
      </c>
      <c r="P34" t="str">
        <f>IF(ISNA(K34),"--",_xlfn.XLOOKUP($M34,'SSP3-7.0'!$A$2:$A$70,'SSP3-7.0'!$C$2:$C$70,"ERROR"))</f>
        <v>2023-06-08T23:45:27.071Z</v>
      </c>
      <c r="Q34" t="str">
        <f>IF(ISNA(L34),"--",_xlfn.XLOOKUP($M34,'SSP5-8.5'!$A$2:$A$70,'SSP5-8.5'!$C$2:$C$70,"ERROR"))</f>
        <v>2023-06-08T23:53:25.196Z</v>
      </c>
    </row>
    <row r="35" spans="1:17" hidden="1" x14ac:dyDescent="0.2">
      <c r="A35">
        <v>34</v>
      </c>
      <c r="B35" t="s">
        <v>168</v>
      </c>
      <c r="C35" t="s">
        <v>285</v>
      </c>
      <c r="D35" t="s">
        <v>345</v>
      </c>
      <c r="E35" t="s">
        <v>346</v>
      </c>
      <c r="F35" t="s">
        <v>347</v>
      </c>
      <c r="G35">
        <v>10.67614163</v>
      </c>
      <c r="H35">
        <v>2</v>
      </c>
      <c r="I35">
        <v>0</v>
      </c>
      <c r="J35">
        <v>4</v>
      </c>
      <c r="K35">
        <v>7</v>
      </c>
      <c r="L35">
        <v>8</v>
      </c>
      <c r="M35" t="s">
        <v>277</v>
      </c>
      <c r="N35" t="str">
        <f>IF(ISNA(I35),"--",_xlfn.XLOOKUP($M35,Historical!$A$2:$A$70,Historical!$C$2:$C$70,"ERROR"))</f>
        <v>2023-06-08T18:41:48.449Z</v>
      </c>
      <c r="O35" t="str">
        <f>IF(ISNA(J35),"--",_xlfn.XLOOKUP($M35,'SSP2-4.5'!$A$2:$A$70,'SSP2-4.5'!$C$2:$C$70,"ERROR"))</f>
        <v>2023-06-08T23:49:50.942Z</v>
      </c>
      <c r="P35" t="str">
        <f>IF(ISNA(K35),"--",_xlfn.XLOOKUP($M35,'SSP3-7.0'!$A$2:$A$70,'SSP3-7.0'!$C$2:$C$70,"ERROR"))</f>
        <v>2023-06-08T23:53:39.172Z</v>
      </c>
      <c r="Q35" t="str">
        <f>IF(ISNA(L35),"--",_xlfn.XLOOKUP($M35,'SSP5-8.5'!$A$2:$A$70,'SSP5-8.5'!$C$2:$C$70,"ERROR"))</f>
        <v>2023-06-08T23:44:02.130Z</v>
      </c>
    </row>
    <row r="36" spans="1:17" hidden="1" x14ac:dyDescent="0.2">
      <c r="A36">
        <v>35</v>
      </c>
      <c r="B36" t="s">
        <v>167</v>
      </c>
      <c r="C36" t="s">
        <v>282</v>
      </c>
      <c r="D36" t="s">
        <v>345</v>
      </c>
      <c r="E36" t="s">
        <v>346</v>
      </c>
      <c r="F36" t="s">
        <v>347</v>
      </c>
      <c r="G36">
        <v>10.747092629999999</v>
      </c>
      <c r="H36">
        <v>2</v>
      </c>
      <c r="I36">
        <v>0</v>
      </c>
      <c r="J36">
        <v>4</v>
      </c>
      <c r="K36">
        <v>7</v>
      </c>
      <c r="L36">
        <v>8</v>
      </c>
      <c r="M36" t="s">
        <v>276</v>
      </c>
      <c r="N36" t="str">
        <f>IF(ISNA(I36),"--",_xlfn.XLOOKUP($M36,Historical!$A$2:$A$70,Historical!$C$2:$C$70,"ERROR"))</f>
        <v>2023-06-09T04:10:18.992Z</v>
      </c>
      <c r="O36" t="str">
        <f>IF(ISNA(J36),"--",_xlfn.XLOOKUP($M36,'SSP2-4.5'!$A$2:$A$70,'SSP2-4.5'!$C$2:$C$70,"ERROR"))</f>
        <v>2023-06-09T06:55:33.364Z</v>
      </c>
      <c r="P36" t="str">
        <f>IF(ISNA(K36),"--",_xlfn.XLOOKUP($M36,'SSP3-7.0'!$A$2:$A$70,'SSP3-7.0'!$C$2:$C$70,"ERROR"))</f>
        <v>2023-06-09T06:52:31.430Z</v>
      </c>
      <c r="Q36" t="str">
        <f>IF(ISNA(L36),"--",_xlfn.XLOOKUP($M36,'SSP5-8.5'!$A$2:$A$70,'SSP5-8.5'!$C$2:$C$70,"ERROR"))</f>
        <v>2023-06-09T06:52:42.210Z</v>
      </c>
    </row>
    <row r="37" spans="1:17" hidden="1" x14ac:dyDescent="0.2">
      <c r="A37">
        <v>36</v>
      </c>
      <c r="B37" t="s">
        <v>176</v>
      </c>
      <c r="C37" t="s">
        <v>280</v>
      </c>
      <c r="D37" t="s">
        <v>345</v>
      </c>
      <c r="E37" t="s">
        <v>346</v>
      </c>
      <c r="F37" t="s">
        <v>347</v>
      </c>
      <c r="G37">
        <v>10.884392500000001</v>
      </c>
      <c r="H37">
        <v>2</v>
      </c>
      <c r="I37">
        <v>0</v>
      </c>
      <c r="J37">
        <v>4</v>
      </c>
      <c r="K37">
        <v>7</v>
      </c>
      <c r="L37">
        <v>8</v>
      </c>
      <c r="M37" t="s">
        <v>307</v>
      </c>
      <c r="N37" t="str">
        <f>IF(ISNA(I37),"--",_xlfn.XLOOKUP($M37,Historical!$A$2:$A$70,Historical!$C$2:$C$70,"ERROR"))</f>
        <v>2023-06-10T16:54:37.450Z</v>
      </c>
      <c r="O37" t="str">
        <f>IF(ISNA(J37),"--",_xlfn.XLOOKUP($M37,'SSP2-4.5'!$A$2:$A$70,'SSP2-4.5'!$C$2:$C$70,"ERROR"))</f>
        <v>2023-06-10T20:48:39.159Z</v>
      </c>
      <c r="P37" t="str">
        <f>IF(ISNA(K37),"--",_xlfn.XLOOKUP($M37,'SSP3-7.0'!$A$2:$A$70,'SSP3-7.0'!$C$2:$C$70,"ERROR"))</f>
        <v>2023-06-10T20:54:11.962Z</v>
      </c>
      <c r="Q37" t="str">
        <f>IF(ISNA(L37),"--",_xlfn.XLOOKUP($M37,'SSP5-8.5'!$A$2:$A$70,'SSP5-8.5'!$C$2:$C$70,"ERROR"))</f>
        <v>2023-06-10T20:51:19.076Z</v>
      </c>
    </row>
    <row r="38" spans="1:17" hidden="1" x14ac:dyDescent="0.2">
      <c r="A38">
        <v>37</v>
      </c>
      <c r="B38" t="s">
        <v>172</v>
      </c>
      <c r="C38" t="s">
        <v>349</v>
      </c>
      <c r="D38" t="s">
        <v>345</v>
      </c>
      <c r="E38" t="s">
        <v>346</v>
      </c>
      <c r="F38" t="s">
        <v>347</v>
      </c>
      <c r="G38">
        <v>10.906420130000001</v>
      </c>
      <c r="H38">
        <v>2</v>
      </c>
      <c r="I38">
        <v>0</v>
      </c>
      <c r="J38" t="e">
        <f>NA()</f>
        <v>#N/A</v>
      </c>
      <c r="K38">
        <v>7</v>
      </c>
      <c r="L38" t="e">
        <f>NA()</f>
        <v>#N/A</v>
      </c>
      <c r="M38" t="s">
        <v>275</v>
      </c>
      <c r="N38" t="str">
        <f>IF(ISNA(I38),"--",_xlfn.XLOOKUP($M38,Historical!$A$2:$A$70,Historical!$C$2:$C$70,"ERROR"))</f>
        <v>2023-06-10T16:55:46.223Z</v>
      </c>
      <c r="O38" t="str">
        <f>IF(ISNA(J38),"--",_xlfn.XLOOKUP($M38,'SSP2-4.5'!$A$2:$A$70,'SSP2-4.5'!$C$2:$C$70,"ERROR"))</f>
        <v>--</v>
      </c>
      <c r="P38" t="str">
        <f>IF(ISNA(K38),"--",_xlfn.XLOOKUP($M38,'SSP3-7.0'!$A$2:$A$70,'SSP3-7.0'!$C$2:$C$70,"ERROR"))</f>
        <v>2023-06-11T12:37:37.883Z</v>
      </c>
      <c r="Q38" t="str">
        <f>IF(ISNA(L38),"--",_xlfn.XLOOKUP($M38,'SSP5-8.5'!$A$2:$A$70,'SSP5-8.5'!$C$2:$C$70,"ERROR"))</f>
        <v>--</v>
      </c>
    </row>
    <row r="39" spans="1:17" hidden="1" x14ac:dyDescent="0.2">
      <c r="A39">
        <v>38</v>
      </c>
      <c r="B39" t="s">
        <v>192</v>
      </c>
      <c r="C39" t="s">
        <v>279</v>
      </c>
      <c r="D39" t="s">
        <v>345</v>
      </c>
      <c r="E39" t="s">
        <v>346</v>
      </c>
      <c r="F39" t="s">
        <v>347</v>
      </c>
      <c r="G39">
        <v>11.102702369999999</v>
      </c>
      <c r="H39">
        <v>2</v>
      </c>
      <c r="I39">
        <v>0</v>
      </c>
      <c r="J39">
        <v>4</v>
      </c>
      <c r="K39">
        <v>7</v>
      </c>
      <c r="L39">
        <v>8</v>
      </c>
      <c r="M39" t="s">
        <v>269</v>
      </c>
      <c r="N39" t="str">
        <f>IF(ISNA(I39),"--",_xlfn.XLOOKUP($M39,Historical!$A$2:$A$70,Historical!$C$2:$C$70,"ERROR"))</f>
        <v>2023-08-29T03:34:35.654Z</v>
      </c>
      <c r="O39" t="str">
        <f>IF(ISNA(J39),"--",_xlfn.XLOOKUP($M39,'SSP2-4.5'!$A$2:$A$70,'SSP2-4.5'!$C$2:$C$70,"ERROR"))</f>
        <v>2023-07-05T02:28:48.958Z</v>
      </c>
      <c r="P39" t="str">
        <f>IF(ISNA(K39),"--",_xlfn.XLOOKUP($M39,'SSP3-7.0'!$A$2:$A$70,'SSP3-7.0'!$C$2:$C$70,"ERROR"))</f>
        <v>2023-07-05T02:30:43.591Z</v>
      </c>
      <c r="Q39" t="str">
        <f>IF(ISNA(L39),"--",_xlfn.XLOOKUP($M39,'SSP5-8.5'!$A$2:$A$70,'SSP5-8.5'!$C$2:$C$70,"ERROR"))</f>
        <v>2023-06-10T20:54:13.370Z</v>
      </c>
    </row>
    <row r="40" spans="1:17" hidden="1" x14ac:dyDescent="0.2">
      <c r="A40">
        <v>39</v>
      </c>
      <c r="B40" t="s">
        <v>177</v>
      </c>
      <c r="C40" t="s">
        <v>282</v>
      </c>
      <c r="D40" t="s">
        <v>345</v>
      </c>
      <c r="E40" t="s">
        <v>346</v>
      </c>
      <c r="F40" t="s">
        <v>347</v>
      </c>
      <c r="G40">
        <v>11.244554239999999</v>
      </c>
      <c r="H40">
        <v>2</v>
      </c>
      <c r="I40">
        <v>0</v>
      </c>
      <c r="J40">
        <v>4</v>
      </c>
      <c r="K40">
        <v>7</v>
      </c>
      <c r="L40">
        <v>8</v>
      </c>
      <c r="M40" t="s">
        <v>305</v>
      </c>
      <c r="N40" t="str">
        <f>IF(ISNA(I40),"--",_xlfn.XLOOKUP($M40,Historical!$A$2:$A$70,Historical!$C$2:$C$70,"ERROR"))</f>
        <v>2023-06-10T16:54:42.394Z</v>
      </c>
      <c r="O40" t="str">
        <f>IF(ISNA(J40),"--",_xlfn.XLOOKUP($M40,'SSP2-4.5'!$A$2:$A$70,'SSP2-4.5'!$C$2:$C$70,"ERROR"))</f>
        <v>2023-07-02T08:05:19.461Z</v>
      </c>
      <c r="P40" t="str">
        <f>IF(ISNA(K40),"--",_xlfn.XLOOKUP($M40,'SSP3-7.0'!$A$2:$A$70,'SSP3-7.0'!$C$2:$C$70,"ERROR"))</f>
        <v>2023-07-02T08:08:50.527Z</v>
      </c>
      <c r="Q40" t="str">
        <f>IF(ISNA(L40),"--",_xlfn.XLOOKUP($M40,'SSP5-8.5'!$A$2:$A$70,'SSP5-8.5'!$C$2:$C$70,"ERROR"))</f>
        <v>2023-07-02T08:05:07.009Z</v>
      </c>
    </row>
    <row r="41" spans="1:17" hidden="1" x14ac:dyDescent="0.2">
      <c r="A41">
        <v>40</v>
      </c>
      <c r="B41" t="s">
        <v>181</v>
      </c>
      <c r="C41" t="s">
        <v>297</v>
      </c>
      <c r="D41" t="s">
        <v>345</v>
      </c>
      <c r="E41" t="s">
        <v>346</v>
      </c>
      <c r="F41" t="s">
        <v>347</v>
      </c>
      <c r="G41">
        <v>11.357376459999999</v>
      </c>
      <c r="H41">
        <v>2</v>
      </c>
      <c r="I41">
        <v>0</v>
      </c>
      <c r="J41" t="e">
        <f>NA()</f>
        <v>#N/A</v>
      </c>
      <c r="K41" t="e">
        <f>NA()</f>
        <v>#N/A</v>
      </c>
      <c r="L41">
        <v>8</v>
      </c>
      <c r="M41" t="s">
        <v>325</v>
      </c>
      <c r="N41" t="str">
        <f>IF(ISNA(I41),"--",_xlfn.XLOOKUP($M41,Historical!$A$2:$A$70,Historical!$C$2:$C$70,"ERROR"))</f>
        <v>2023-06-12T04:16:43.190Z</v>
      </c>
      <c r="O41" t="str">
        <f>IF(ISNA(J41),"--",_xlfn.XLOOKUP($M41,'SSP2-4.5'!$A$2:$A$70,'SSP2-4.5'!$C$2:$C$70,"ERROR"))</f>
        <v>--</v>
      </c>
      <c r="P41" t="str">
        <f>IF(ISNA(K41),"--",_xlfn.XLOOKUP($M41,'SSP3-7.0'!$A$2:$A$70,'SSP3-7.0'!$C$2:$C$70,"ERROR"))</f>
        <v>--</v>
      </c>
      <c r="Q41" t="str">
        <f>IF(ISNA(L41),"--",_xlfn.XLOOKUP($M41,'SSP5-8.5'!$A$2:$A$70,'SSP5-8.5'!$C$2:$C$70,"ERROR"))</f>
        <v>2023-06-12T07:01:44.756Z</v>
      </c>
    </row>
    <row r="42" spans="1:17" hidden="1" x14ac:dyDescent="0.2">
      <c r="A42">
        <v>41</v>
      </c>
      <c r="B42" t="s">
        <v>186</v>
      </c>
      <c r="C42" t="s">
        <v>279</v>
      </c>
      <c r="D42" t="s">
        <v>345</v>
      </c>
      <c r="E42" t="s">
        <v>346</v>
      </c>
      <c r="F42" t="s">
        <v>347</v>
      </c>
      <c r="G42">
        <v>11.367057669999999</v>
      </c>
      <c r="H42">
        <v>2</v>
      </c>
      <c r="I42">
        <v>0</v>
      </c>
      <c r="J42">
        <v>4</v>
      </c>
      <c r="K42">
        <v>7</v>
      </c>
      <c r="L42">
        <v>8</v>
      </c>
      <c r="M42" t="s">
        <v>315</v>
      </c>
      <c r="N42" t="str">
        <f>IF(ISNA(I42),"--",_xlfn.XLOOKUP($M42,Historical!$A$2:$A$70,Historical!$C$2:$C$70,"ERROR"))</f>
        <v>2023-06-12T04:19:04.015Z</v>
      </c>
      <c r="O42" t="str">
        <f>IF(ISNA(J42),"--",_xlfn.XLOOKUP($M42,'SSP2-4.5'!$A$2:$A$70,'SSP2-4.5'!$C$2:$C$70,"ERROR"))</f>
        <v>2023-06-12T07:01:49.688Z</v>
      </c>
      <c r="P42" t="str">
        <f>IF(ISNA(K42),"--",_xlfn.XLOOKUP($M42,'SSP3-7.0'!$A$2:$A$70,'SSP3-7.0'!$C$2:$C$70,"ERROR"))</f>
        <v>2023-06-12T06:58:51.022Z</v>
      </c>
      <c r="Q42" t="str">
        <f>IF(ISNA(L42),"--",_xlfn.XLOOKUP($M42,'SSP5-8.5'!$A$2:$A$70,'SSP5-8.5'!$C$2:$C$70,"ERROR"))</f>
        <v>2023-06-12T06:58:50.258Z</v>
      </c>
    </row>
    <row r="43" spans="1:17" hidden="1" x14ac:dyDescent="0.2">
      <c r="A43">
        <v>42</v>
      </c>
      <c r="B43" t="s">
        <v>185</v>
      </c>
      <c r="C43" t="s">
        <v>283</v>
      </c>
      <c r="D43" t="s">
        <v>345</v>
      </c>
      <c r="E43" t="s">
        <v>346</v>
      </c>
      <c r="F43" t="s">
        <v>347</v>
      </c>
      <c r="G43">
        <v>11.43372205</v>
      </c>
      <c r="H43">
        <v>2</v>
      </c>
      <c r="I43">
        <v>0</v>
      </c>
      <c r="J43">
        <v>4</v>
      </c>
      <c r="K43">
        <v>7</v>
      </c>
      <c r="L43">
        <v>8</v>
      </c>
      <c r="M43" t="s">
        <v>313</v>
      </c>
      <c r="N43" t="str">
        <f>IF(ISNA(I43),"--",_xlfn.XLOOKUP($M43,Historical!$A$2:$A$70,Historical!$C$2:$C$70,"ERROR"))</f>
        <v>2023-06-13T11:57:31.793Z</v>
      </c>
      <c r="O43" t="str">
        <f>IF(ISNA(J43),"--",_xlfn.XLOOKUP($M43,'SSP2-4.5'!$A$2:$A$70,'SSP2-4.5'!$C$2:$C$70,"ERROR"))</f>
        <v>2023-07-04T14:26:08.092Z</v>
      </c>
      <c r="P43" t="str">
        <f>IF(ISNA(K43),"--",_xlfn.XLOOKUP($M43,'SSP3-7.0'!$A$2:$A$70,'SSP3-7.0'!$C$2:$C$70,"ERROR"))</f>
        <v>2023-06-13T14:58:02.028Z</v>
      </c>
      <c r="Q43" t="str">
        <f>IF(ISNA(L43),"--",_xlfn.XLOOKUP($M43,'SSP5-8.5'!$A$2:$A$70,'SSP5-8.5'!$C$2:$C$70,"ERROR"))</f>
        <v>2023-07-05T16:17:06.879Z</v>
      </c>
    </row>
    <row r="44" spans="1:17" hidden="1" x14ac:dyDescent="0.2">
      <c r="A44">
        <v>43</v>
      </c>
      <c r="B44" t="s">
        <v>188</v>
      </c>
      <c r="C44" t="s">
        <v>283</v>
      </c>
      <c r="D44" t="s">
        <v>345</v>
      </c>
      <c r="E44" t="s">
        <v>346</v>
      </c>
      <c r="F44" t="s">
        <v>347</v>
      </c>
      <c r="G44">
        <v>11.84989451</v>
      </c>
      <c r="H44">
        <v>2</v>
      </c>
      <c r="I44">
        <v>0</v>
      </c>
      <c r="J44">
        <v>4</v>
      </c>
      <c r="K44">
        <v>7</v>
      </c>
      <c r="L44">
        <v>8</v>
      </c>
      <c r="M44" t="s">
        <v>320</v>
      </c>
      <c r="N44" t="str">
        <f>IF(ISNA(I44),"--",_xlfn.XLOOKUP($M44,Historical!$A$2:$A$70,Historical!$C$2:$C$70,"ERROR"))</f>
        <v>2023-06-13T11:53:18.675Z</v>
      </c>
      <c r="O44" t="str">
        <f>IF(ISNA(J44),"--",_xlfn.XLOOKUP($M44,'SSP2-4.5'!$A$2:$A$70,'SSP2-4.5'!$C$2:$C$70,"ERROR"))</f>
        <v>2023-06-13T14:47:55.558Z</v>
      </c>
      <c r="P44" t="str">
        <f>IF(ISNA(K44),"--",_xlfn.XLOOKUP($M44,'SSP3-7.0'!$A$2:$A$70,'SSP3-7.0'!$C$2:$C$70,"ERROR"))</f>
        <v>2023-06-13T14:45:43.344Z</v>
      </c>
      <c r="Q44" t="str">
        <f>IF(ISNA(L44),"--",_xlfn.XLOOKUP($M44,'SSP5-8.5'!$A$2:$A$70,'SSP5-8.5'!$C$2:$C$70,"ERROR"))</f>
        <v>2023-06-13T14:43:15.867Z</v>
      </c>
    </row>
    <row r="45" spans="1:17" hidden="1" x14ac:dyDescent="0.2">
      <c r="A45">
        <v>44</v>
      </c>
      <c r="B45" t="s">
        <v>171</v>
      </c>
      <c r="C45" t="s">
        <v>280</v>
      </c>
      <c r="D45" t="s">
        <v>345</v>
      </c>
      <c r="E45" t="s">
        <v>346</v>
      </c>
      <c r="F45" t="s">
        <v>347</v>
      </c>
      <c r="G45">
        <v>12.07559522</v>
      </c>
      <c r="H45">
        <v>2</v>
      </c>
      <c r="I45">
        <v>0</v>
      </c>
      <c r="J45">
        <v>4</v>
      </c>
      <c r="K45">
        <v>7</v>
      </c>
      <c r="L45">
        <v>8</v>
      </c>
      <c r="M45" t="s">
        <v>273</v>
      </c>
      <c r="N45" t="str">
        <f>IF(ISNA(I45),"--",_xlfn.XLOOKUP($M45,Historical!$A$2:$A$70,Historical!$C$2:$C$70,"ERROR"))</f>
        <v>2023-06-16T09:10:22.802Z</v>
      </c>
      <c r="O45" t="str">
        <f>IF(ISNA(J45),"--",_xlfn.XLOOKUP($M45,'SSP2-4.5'!$A$2:$A$70,'SSP2-4.5'!$C$2:$C$70,"ERROR"))</f>
        <v>2023-06-16T11:38:17.514Z</v>
      </c>
      <c r="P45" t="str">
        <f>IF(ISNA(K45),"--",_xlfn.XLOOKUP($M45,'SSP3-7.0'!$A$2:$A$70,'SSP3-7.0'!$C$2:$C$70,"ERROR"))</f>
        <v>2023-06-16T11:52:06.310Z</v>
      </c>
      <c r="Q45" t="str">
        <f>IF(ISNA(L45),"--",_xlfn.XLOOKUP($M45,'SSP5-8.5'!$A$2:$A$70,'SSP5-8.5'!$C$2:$C$70,"ERROR"))</f>
        <v>2023-06-16T11:47:08.107Z</v>
      </c>
    </row>
    <row r="46" spans="1:17" hidden="1" x14ac:dyDescent="0.2">
      <c r="A46">
        <v>45</v>
      </c>
      <c r="B46" t="s">
        <v>169</v>
      </c>
      <c r="C46" t="s">
        <v>283</v>
      </c>
      <c r="D46" t="s">
        <v>345</v>
      </c>
      <c r="E46" t="s">
        <v>346</v>
      </c>
      <c r="F46" t="s">
        <v>347</v>
      </c>
      <c r="G46">
        <v>12.166347030000001</v>
      </c>
      <c r="H46">
        <v>2</v>
      </c>
      <c r="I46">
        <v>0</v>
      </c>
      <c r="J46" t="e">
        <f>NA()</f>
        <v>#N/A</v>
      </c>
      <c r="K46">
        <v>7</v>
      </c>
      <c r="L46" t="e">
        <f>NA()</f>
        <v>#N/A</v>
      </c>
      <c r="M46" t="s">
        <v>274</v>
      </c>
      <c r="N46" t="str">
        <f>IF(ISNA(I46),"--",_xlfn.XLOOKUP($M46,Historical!$A$2:$A$70,Historical!$C$2:$C$70,"ERROR"))</f>
        <v>2023-06-15T03:40:01.950Z</v>
      </c>
      <c r="O46" t="str">
        <f>IF(ISNA(J46),"--",_xlfn.XLOOKUP($M46,'SSP2-4.5'!$A$2:$A$70,'SSP2-4.5'!$C$2:$C$70,"ERROR"))</f>
        <v>--</v>
      </c>
      <c r="P46" t="str">
        <f>IF(ISNA(K46),"--",_xlfn.XLOOKUP($M46,'SSP3-7.0'!$A$2:$A$70,'SSP3-7.0'!$C$2:$C$70,"ERROR"))</f>
        <v>2023-06-15T07:12:50.787Z</v>
      </c>
      <c r="Q46" t="str">
        <f>IF(ISNA(L46),"--",_xlfn.XLOOKUP($M46,'SSP5-8.5'!$A$2:$A$70,'SSP5-8.5'!$C$2:$C$70,"ERROR"))</f>
        <v>--</v>
      </c>
    </row>
    <row r="47" spans="1:17" hidden="1" x14ac:dyDescent="0.2">
      <c r="A47">
        <v>46</v>
      </c>
      <c r="B47" t="s">
        <v>189</v>
      </c>
      <c r="C47" t="s">
        <v>282</v>
      </c>
      <c r="D47" t="s">
        <v>345</v>
      </c>
      <c r="E47" t="s">
        <v>346</v>
      </c>
      <c r="F47" t="s">
        <v>347</v>
      </c>
      <c r="G47">
        <v>12.25765067</v>
      </c>
      <c r="H47">
        <v>2</v>
      </c>
      <c r="I47">
        <v>0</v>
      </c>
      <c r="J47">
        <v>4</v>
      </c>
      <c r="K47">
        <v>7</v>
      </c>
      <c r="L47">
        <v>8</v>
      </c>
      <c r="M47" t="s">
        <v>278</v>
      </c>
      <c r="N47" t="str">
        <f>IF(ISNA(I47),"--",_xlfn.XLOOKUP($M47,Historical!$A$2:$A$70,Historical!$C$2:$C$70,"ERROR"))</f>
        <v>2023-06-03T08:16:42.570Z</v>
      </c>
      <c r="O47" t="str">
        <f>IF(ISNA(J47),"--",_xlfn.XLOOKUP($M47,'SSP2-4.5'!$A$2:$A$70,'SSP2-4.5'!$C$2:$C$70,"ERROR"))</f>
        <v>2023-06-03T10:45:30.475Z</v>
      </c>
      <c r="P47" t="str">
        <f>IF(ISNA(K47),"--",_xlfn.XLOOKUP($M47,'SSP3-7.0'!$A$2:$A$70,'SSP3-7.0'!$C$2:$C$70,"ERROR"))</f>
        <v>2023-06-03T10:49:54.373Z</v>
      </c>
      <c r="Q47" t="str">
        <f>IF(ISNA(L47),"--",_xlfn.XLOOKUP($M47,'SSP5-8.5'!$A$2:$A$70,'SSP5-8.5'!$C$2:$C$70,"ERROR"))</f>
        <v>2023-06-03T10:40:59Z</v>
      </c>
    </row>
    <row r="48" spans="1:17" hidden="1" x14ac:dyDescent="0.2">
      <c r="A48">
        <v>47</v>
      </c>
      <c r="B48" t="s">
        <v>184</v>
      </c>
      <c r="C48" t="s">
        <v>279</v>
      </c>
      <c r="D48" t="s">
        <v>345</v>
      </c>
      <c r="E48" t="s">
        <v>346</v>
      </c>
      <c r="F48" t="s">
        <v>347</v>
      </c>
      <c r="G48">
        <v>9.9206854599999996</v>
      </c>
      <c r="H48">
        <v>3</v>
      </c>
      <c r="I48">
        <v>0</v>
      </c>
      <c r="J48">
        <v>4</v>
      </c>
      <c r="K48">
        <v>7</v>
      </c>
      <c r="L48">
        <v>8</v>
      </c>
      <c r="M48" t="s">
        <v>310</v>
      </c>
      <c r="N48" t="str">
        <f>IF(ISNA(I48),"--",_xlfn.XLOOKUP($M48,Historical!$A$2:$A$70,Historical!$C$2:$C$70,"ERROR"))</f>
        <v>2023-06-19T03:25:21.727Z</v>
      </c>
      <c r="O48" t="str">
        <f>IF(ISNA(J48),"--",_xlfn.XLOOKUP($M48,'SSP2-4.5'!$A$2:$A$70,'SSP2-4.5'!$C$2:$C$70,"ERROR"))</f>
        <v>2023-06-21T01:30:28.564Z</v>
      </c>
      <c r="P48" t="str">
        <f>IF(ISNA(K48),"--",_xlfn.XLOOKUP($M48,'SSP3-7.0'!$A$2:$A$70,'SSP3-7.0'!$C$2:$C$70,"ERROR"))</f>
        <v>2023-07-03T01:58:01.096Z</v>
      </c>
      <c r="Q48" t="str">
        <f>IF(ISNA(L48),"--",_xlfn.XLOOKUP($M48,'SSP5-8.5'!$A$2:$A$70,'SSP5-8.5'!$C$2:$C$70,"ERROR"))</f>
        <v>2023-07-08T11:21:54.054Z</v>
      </c>
    </row>
    <row r="49" spans="1:17" hidden="1" x14ac:dyDescent="0.2">
      <c r="A49">
        <v>48</v>
      </c>
      <c r="B49" t="s">
        <v>191</v>
      </c>
      <c r="C49" t="s">
        <v>279</v>
      </c>
      <c r="D49" t="s">
        <v>345</v>
      </c>
      <c r="E49" t="s">
        <v>346</v>
      </c>
      <c r="F49" t="s">
        <v>347</v>
      </c>
      <c r="G49">
        <v>10.302912210000001</v>
      </c>
      <c r="H49">
        <v>3</v>
      </c>
      <c r="I49">
        <v>0</v>
      </c>
      <c r="J49">
        <v>4</v>
      </c>
      <c r="K49">
        <v>7</v>
      </c>
      <c r="L49">
        <v>8</v>
      </c>
      <c r="M49" t="s">
        <v>270</v>
      </c>
      <c r="N49" t="str">
        <f>IF(ISNA(I49),"--",_xlfn.XLOOKUP($M49,Historical!$A$2:$A$70,Historical!$C$2:$C$70,"ERROR"))</f>
        <v>2023-06-18T10:56:48.192Z</v>
      </c>
      <c r="O49" t="str">
        <f>IF(ISNA(J49),"--",_xlfn.XLOOKUP($M49,'SSP2-4.5'!$A$2:$A$70,'SSP2-4.5'!$C$2:$C$70,"ERROR"))</f>
        <v>2023-06-20T12:35:32.034Z</v>
      </c>
      <c r="P49" t="str">
        <f>IF(ISNA(K49),"--",_xlfn.XLOOKUP($M49,'SSP3-7.0'!$A$2:$A$70,'SSP3-7.0'!$C$2:$C$70,"ERROR"))</f>
        <v>2023-07-05T02:27:18.057Z</v>
      </c>
      <c r="Q49" t="str">
        <f>IF(ISNA(L49),"--",_xlfn.XLOOKUP($M49,'SSP5-8.5'!$A$2:$A$70,'SSP5-8.5'!$C$2:$C$70,"ERROR"))</f>
        <v>2023-06-18T13:47:56.803Z</v>
      </c>
    </row>
    <row r="50" spans="1:17" hidden="1" x14ac:dyDescent="0.2">
      <c r="A50">
        <v>49</v>
      </c>
      <c r="B50" t="s">
        <v>178</v>
      </c>
      <c r="C50" t="s">
        <v>280</v>
      </c>
      <c r="D50" t="s">
        <v>345</v>
      </c>
      <c r="E50" t="s">
        <v>346</v>
      </c>
      <c r="F50" t="s">
        <v>347</v>
      </c>
      <c r="G50">
        <v>10.443658360000001</v>
      </c>
      <c r="H50">
        <v>3</v>
      </c>
      <c r="I50">
        <v>0</v>
      </c>
      <c r="J50">
        <v>4</v>
      </c>
      <c r="K50">
        <v>7</v>
      </c>
      <c r="L50">
        <v>8</v>
      </c>
      <c r="M50" t="s">
        <v>309</v>
      </c>
      <c r="N50" t="str">
        <f>IF(ISNA(I50),"--",_xlfn.XLOOKUP($M50,Historical!$A$2:$A$70,Historical!$C$2:$C$70,"ERROR"))</f>
        <v>2023-08-04T14:43:09.233Z</v>
      </c>
      <c r="O50" t="str">
        <f>IF(ISNA(J50),"--",_xlfn.XLOOKUP($M50,'SSP2-4.5'!$A$2:$A$70,'SSP2-4.5'!$C$2:$C$70,"ERROR"))</f>
        <v>2023-08-04T17:02:26.732Z</v>
      </c>
      <c r="P50" t="str">
        <f>IF(ISNA(K50),"--",_xlfn.XLOOKUP($M50,'SSP3-7.0'!$A$2:$A$70,'SSP3-7.0'!$C$2:$C$70,"ERROR"))</f>
        <v>2023-08-04T17:07:31.908Z</v>
      </c>
      <c r="Q50" t="str">
        <f>IF(ISNA(L50),"--",_xlfn.XLOOKUP($M50,'SSP5-8.5'!$A$2:$A$70,'SSP5-8.5'!$C$2:$C$70,"ERROR"))</f>
        <v>2023-08-05T07:42:16.172Z</v>
      </c>
    </row>
    <row r="51" spans="1:17" hidden="1" x14ac:dyDescent="0.2">
      <c r="A51">
        <v>50</v>
      </c>
      <c r="B51" t="s">
        <v>190</v>
      </c>
      <c r="C51" t="s">
        <v>283</v>
      </c>
      <c r="D51" t="s">
        <v>345</v>
      </c>
      <c r="E51" t="s">
        <v>346</v>
      </c>
      <c r="F51" t="s">
        <v>347</v>
      </c>
      <c r="G51">
        <v>10.758252649999999</v>
      </c>
      <c r="H51">
        <v>3</v>
      </c>
      <c r="I51">
        <v>0</v>
      </c>
      <c r="J51" t="e">
        <f>NA()</f>
        <v>#N/A</v>
      </c>
      <c r="K51">
        <v>7</v>
      </c>
      <c r="L51" t="e">
        <f>NA()</f>
        <v>#N/A</v>
      </c>
      <c r="M51" t="s">
        <v>267</v>
      </c>
      <c r="N51" t="str">
        <f>IF(ISNA(I51),"--",_xlfn.XLOOKUP($M51,Historical!$A$2:$A$70,Historical!$C$2:$C$70,"ERROR"))</f>
        <v>2023-07-26T06:14:30.392Z</v>
      </c>
      <c r="O51" t="str">
        <f>IF(ISNA(J51),"--",_xlfn.XLOOKUP($M51,'SSP2-4.5'!$A$2:$A$70,'SSP2-4.5'!$C$2:$C$70,"ERROR"))</f>
        <v>--</v>
      </c>
      <c r="P51" t="str">
        <f>IF(ISNA(K51),"--",_xlfn.XLOOKUP($M51,'SSP3-7.0'!$A$2:$A$70,'SSP3-7.0'!$C$2:$C$70,"ERROR"))</f>
        <v>2023-07-26T08:14:06.609Z</v>
      </c>
      <c r="Q51" t="str">
        <f>IF(ISNA(L51),"--",_xlfn.XLOOKUP($M51,'SSP5-8.5'!$A$2:$A$70,'SSP5-8.5'!$C$2:$C$70,"ERROR"))</f>
        <v>--</v>
      </c>
    </row>
    <row r="52" spans="1:17" hidden="1" x14ac:dyDescent="0.2">
      <c r="A52">
        <v>51</v>
      </c>
      <c r="B52" t="s">
        <v>168</v>
      </c>
      <c r="C52" t="s">
        <v>283</v>
      </c>
      <c r="D52" t="s">
        <v>345</v>
      </c>
      <c r="E52" t="s">
        <v>346</v>
      </c>
      <c r="F52" t="s">
        <v>347</v>
      </c>
      <c r="G52">
        <v>10.932520289999999</v>
      </c>
      <c r="H52">
        <v>3</v>
      </c>
      <c r="I52">
        <v>0</v>
      </c>
      <c r="J52">
        <v>4</v>
      </c>
      <c r="K52">
        <v>7</v>
      </c>
      <c r="L52">
        <v>8</v>
      </c>
      <c r="M52" t="s">
        <v>265</v>
      </c>
      <c r="N52" t="str">
        <f>IF(ISNA(I52),"--",_xlfn.XLOOKUP($M52,Historical!$A$2:$A$70,Historical!$C$2:$C$70,"ERROR"))</f>
        <v>2023-08-03T07:18:12.303Z</v>
      </c>
      <c r="O52" t="str">
        <f>IF(ISNA(J52),"--",_xlfn.XLOOKUP($M52,'SSP2-4.5'!$A$2:$A$70,'SSP2-4.5'!$C$2:$C$70,"ERROR"))</f>
        <v>2023-08-04T03:13:24.785Z</v>
      </c>
      <c r="P52" t="str">
        <f>IF(ISNA(K52),"--",_xlfn.XLOOKUP($M52,'SSP3-7.0'!$A$2:$A$70,'SSP3-7.0'!$C$2:$C$70,"ERROR"))</f>
        <v>2023-08-03T09:59:44.229Z</v>
      </c>
      <c r="Q52" t="str">
        <f>IF(ISNA(L52),"--",_xlfn.XLOOKUP($M52,'SSP5-8.5'!$A$2:$A$70,'SSP5-8.5'!$C$2:$C$70,"ERROR"))</f>
        <v>2023-08-02T11:36:28.103Z</v>
      </c>
    </row>
    <row r="53" spans="1:17" hidden="1" x14ac:dyDescent="0.2">
      <c r="A53">
        <v>52</v>
      </c>
      <c r="B53" t="s">
        <v>176</v>
      </c>
      <c r="C53" t="s">
        <v>282</v>
      </c>
      <c r="D53" t="s">
        <v>345</v>
      </c>
      <c r="E53" t="s">
        <v>346</v>
      </c>
      <c r="F53" t="s">
        <v>347</v>
      </c>
      <c r="G53">
        <v>10.959014549999999</v>
      </c>
      <c r="H53">
        <v>3</v>
      </c>
      <c r="I53">
        <v>0</v>
      </c>
      <c r="J53" t="e">
        <f>NA()</f>
        <v>#N/A</v>
      </c>
      <c r="K53" t="e">
        <f>NA()</f>
        <v>#N/A</v>
      </c>
      <c r="L53">
        <v>8</v>
      </c>
      <c r="M53" t="s">
        <v>323</v>
      </c>
      <c r="N53" t="str">
        <f>IF(ISNA(I53),"--",_xlfn.XLOOKUP($M53,Historical!$A$2:$A$70,Historical!$C$2:$C$70,"ERROR"))</f>
        <v>2023-08-05T22:50:42.343Z</v>
      </c>
      <c r="O53" t="str">
        <f>IF(ISNA(J53),"--",_xlfn.XLOOKUP($M53,'SSP2-4.5'!$A$2:$A$70,'SSP2-4.5'!$C$2:$C$70,"ERROR"))</f>
        <v>--</v>
      </c>
      <c r="P53" t="str">
        <f>IF(ISNA(K53),"--",_xlfn.XLOOKUP($M53,'SSP3-7.0'!$A$2:$A$70,'SSP3-7.0'!$C$2:$C$70,"ERROR"))</f>
        <v>--</v>
      </c>
      <c r="Q53" t="str">
        <f>IF(ISNA(L53),"--",_xlfn.XLOOKUP($M53,'SSP5-8.5'!$A$2:$A$70,'SSP5-8.5'!$C$2:$C$70,"ERROR"))</f>
        <v>2023-08-06T00:50:57.457Z</v>
      </c>
    </row>
    <row r="54" spans="1:17" hidden="1" x14ac:dyDescent="0.2">
      <c r="A54">
        <v>53</v>
      </c>
      <c r="B54" t="s">
        <v>167</v>
      </c>
      <c r="C54" t="s">
        <v>283</v>
      </c>
      <c r="D54" t="s">
        <v>345</v>
      </c>
      <c r="E54" t="s">
        <v>346</v>
      </c>
      <c r="F54" t="s">
        <v>347</v>
      </c>
      <c r="G54">
        <v>10.98954048</v>
      </c>
      <c r="H54">
        <v>3</v>
      </c>
      <c r="I54">
        <v>0</v>
      </c>
      <c r="J54">
        <v>4</v>
      </c>
      <c r="K54">
        <v>7</v>
      </c>
      <c r="L54">
        <v>8</v>
      </c>
      <c r="M54" t="s">
        <v>266</v>
      </c>
      <c r="N54" t="str">
        <f>IF(ISNA(I54),"--",_xlfn.XLOOKUP($M54,Historical!$A$2:$A$70,Historical!$C$2:$C$70,"ERROR"))</f>
        <v>2023-08-02T08:21:04.615Z</v>
      </c>
      <c r="O54" t="str">
        <f>IF(ISNA(J54),"--",_xlfn.XLOOKUP($M54,'SSP2-4.5'!$A$2:$A$70,'SSP2-4.5'!$C$2:$C$70,"ERROR"))</f>
        <v>2023-08-04T02:25:48.378Z</v>
      </c>
      <c r="P54" t="str">
        <f>IF(ISNA(K54),"--",_xlfn.XLOOKUP($M54,'SSP3-7.0'!$A$2:$A$70,'SSP3-7.0'!$C$2:$C$70,"ERROR"))</f>
        <v>2023-08-03T09:40:36.602Z</v>
      </c>
      <c r="Q54" t="str">
        <f>IF(ISNA(L54),"--",_xlfn.XLOOKUP($M54,'SSP5-8.5'!$A$2:$A$70,'SSP5-8.5'!$C$2:$C$70,"ERROR"))</f>
        <v>2023-08-03T09:43:39.731Z</v>
      </c>
    </row>
    <row r="55" spans="1:17" hidden="1" x14ac:dyDescent="0.2">
      <c r="A55">
        <v>54</v>
      </c>
      <c r="B55" t="s">
        <v>172</v>
      </c>
      <c r="C55" t="s">
        <v>350</v>
      </c>
      <c r="D55" t="s">
        <v>345</v>
      </c>
      <c r="E55" t="s">
        <v>346</v>
      </c>
      <c r="F55" t="s">
        <v>347</v>
      </c>
      <c r="G55">
        <v>11.119802160000001</v>
      </c>
      <c r="H55">
        <v>3</v>
      </c>
      <c r="I55">
        <v>0</v>
      </c>
      <c r="J55" t="e">
        <f>NA()</f>
        <v>#N/A</v>
      </c>
      <c r="K55">
        <v>7</v>
      </c>
      <c r="L55" t="e">
        <f>NA()</f>
        <v>#N/A</v>
      </c>
      <c r="M55" t="s">
        <v>264</v>
      </c>
      <c r="N55" t="str">
        <f>IF(ISNA(I55),"--",_xlfn.XLOOKUP($M55,Historical!$A$2:$A$70,Historical!$C$2:$C$70,"ERROR"))</f>
        <v>2023-08-05T05:35:04.442Z</v>
      </c>
      <c r="O55" t="str">
        <f>IF(ISNA(J55),"--",_xlfn.XLOOKUP($M55,'SSP2-4.5'!$A$2:$A$70,'SSP2-4.5'!$C$2:$C$70,"ERROR"))</f>
        <v>--</v>
      </c>
      <c r="P55" t="str">
        <f>IF(ISNA(K55),"--",_xlfn.XLOOKUP($M55,'SSP3-7.0'!$A$2:$A$70,'SSP3-7.0'!$C$2:$C$70,"ERROR"))</f>
        <v>2023-08-05T07:51:00.447Z</v>
      </c>
      <c r="Q55" t="str">
        <f>IF(ISNA(L55),"--",_xlfn.XLOOKUP($M55,'SSP5-8.5'!$A$2:$A$70,'SSP5-8.5'!$C$2:$C$70,"ERROR"))</f>
        <v>--</v>
      </c>
    </row>
    <row r="56" spans="1:17" hidden="1" x14ac:dyDescent="0.2">
      <c r="A56">
        <v>55</v>
      </c>
      <c r="B56" t="s">
        <v>177</v>
      </c>
      <c r="C56" t="s">
        <v>285</v>
      </c>
      <c r="D56" t="s">
        <v>345</v>
      </c>
      <c r="E56" t="s">
        <v>346</v>
      </c>
      <c r="F56" t="s">
        <v>347</v>
      </c>
      <c r="G56">
        <v>11.28538878</v>
      </c>
      <c r="H56">
        <v>3</v>
      </c>
      <c r="I56">
        <v>0</v>
      </c>
      <c r="J56">
        <v>4</v>
      </c>
      <c r="K56" t="e">
        <f>NA()</f>
        <v>#N/A</v>
      </c>
      <c r="L56" t="e">
        <f>NA()</f>
        <v>#N/A</v>
      </c>
      <c r="M56" t="s">
        <v>328</v>
      </c>
      <c r="N56" t="str">
        <f>IF(ISNA(I56),"--",_xlfn.XLOOKUP($M56,Historical!$A$2:$A$70,Historical!$C$2:$C$70,"ERROR"))</f>
        <v>2023-08-07T00:41:00.624Z</v>
      </c>
      <c r="O56" t="str">
        <f>IF(ISNA(J56),"--",_xlfn.XLOOKUP($M56,'SSP2-4.5'!$A$2:$A$70,'SSP2-4.5'!$C$2:$C$70,"ERROR"))</f>
        <v>2023-08-08T04:19:20.852Z</v>
      </c>
      <c r="P56" t="str">
        <f>IF(ISNA(K56),"--",_xlfn.XLOOKUP($M56,'SSP3-7.0'!$A$2:$A$70,'SSP3-7.0'!$C$2:$C$70,"ERROR"))</f>
        <v>--</v>
      </c>
      <c r="Q56" t="str">
        <f>IF(ISNA(L56),"--",_xlfn.XLOOKUP($M56,'SSP5-8.5'!$A$2:$A$70,'SSP5-8.5'!$C$2:$C$70,"ERROR"))</f>
        <v>--</v>
      </c>
    </row>
    <row r="57" spans="1:17" hidden="1" x14ac:dyDescent="0.2">
      <c r="A57">
        <v>56</v>
      </c>
      <c r="B57" t="s">
        <v>187</v>
      </c>
      <c r="C57" t="s">
        <v>282</v>
      </c>
      <c r="D57" t="s">
        <v>345</v>
      </c>
      <c r="E57" t="s">
        <v>346</v>
      </c>
      <c r="F57" t="s">
        <v>347</v>
      </c>
      <c r="G57">
        <v>11.29822995</v>
      </c>
      <c r="H57">
        <v>3</v>
      </c>
      <c r="I57">
        <v>0</v>
      </c>
      <c r="J57">
        <v>4</v>
      </c>
      <c r="K57">
        <v>7</v>
      </c>
      <c r="L57">
        <v>8</v>
      </c>
      <c r="M57" t="s">
        <v>318</v>
      </c>
      <c r="N57" t="str">
        <f>IF(ISNA(I57),"--",_xlfn.XLOOKUP($M57,Historical!$A$2:$A$70,Historical!$C$2:$C$70,"ERROR"))</f>
        <v>2023-08-07T00:53:59.849Z</v>
      </c>
      <c r="O57" t="str">
        <f>IF(ISNA(J57),"--",_xlfn.XLOOKUP($M57,'SSP2-4.5'!$A$2:$A$70,'SSP2-4.5'!$C$2:$C$70,"ERROR"))</f>
        <v>2023-08-08T04:20:10.436Z</v>
      </c>
      <c r="P57" t="str">
        <f>IF(ISNA(K57),"--",_xlfn.XLOOKUP($M57,'SSP3-7.0'!$A$2:$A$70,'SSP3-7.0'!$C$2:$C$70,"ERROR"))</f>
        <v>2023-08-09T02:13:59.174Z</v>
      </c>
      <c r="Q57" t="str">
        <f>IF(ISNA(L57),"--",_xlfn.XLOOKUP($M57,'SSP5-8.5'!$A$2:$A$70,'SSP5-8.5'!$C$2:$C$70,"ERROR"))</f>
        <v>2023-08-07T03:16:59.308Z</v>
      </c>
    </row>
    <row r="58" spans="1:17" hidden="1" x14ac:dyDescent="0.2">
      <c r="A58">
        <v>57</v>
      </c>
      <c r="B58" t="s">
        <v>181</v>
      </c>
      <c r="C58" t="s">
        <v>348</v>
      </c>
      <c r="D58" t="s">
        <v>345</v>
      </c>
      <c r="E58" t="s">
        <v>346</v>
      </c>
      <c r="F58" t="s">
        <v>347</v>
      </c>
      <c r="G58">
        <v>11.36001761</v>
      </c>
      <c r="H58">
        <v>3</v>
      </c>
      <c r="I58">
        <v>0</v>
      </c>
      <c r="J58" t="e">
        <f>NA()</f>
        <v>#N/A</v>
      </c>
      <c r="K58" t="e">
        <f>NA()</f>
        <v>#N/A</v>
      </c>
      <c r="L58">
        <v>8</v>
      </c>
      <c r="M58" t="s">
        <v>324</v>
      </c>
      <c r="N58" t="str">
        <f>IF(ISNA(I58),"--",_xlfn.XLOOKUP($M58,Historical!$A$2:$A$70,Historical!$C$2:$C$70,"ERROR"))</f>
        <v>2023-07-02T23:31:46.478Z</v>
      </c>
      <c r="O58" t="str">
        <f>IF(ISNA(J58),"--",_xlfn.XLOOKUP($M58,'SSP2-4.5'!$A$2:$A$70,'SSP2-4.5'!$C$2:$C$70,"ERROR"))</f>
        <v>--</v>
      </c>
      <c r="P58" t="str">
        <f>IF(ISNA(K58),"--",_xlfn.XLOOKUP($M58,'SSP3-7.0'!$A$2:$A$70,'SSP3-7.0'!$C$2:$C$70,"ERROR"))</f>
        <v>--</v>
      </c>
      <c r="Q58" t="str">
        <f>IF(ISNA(L58),"--",_xlfn.XLOOKUP($M58,'SSP5-8.5'!$A$2:$A$70,'SSP5-8.5'!$C$2:$C$70,"ERROR"))</f>
        <v>2023-07-06T06:26:08.157Z</v>
      </c>
    </row>
    <row r="59" spans="1:17" hidden="1" x14ac:dyDescent="0.2">
      <c r="A59">
        <v>58</v>
      </c>
      <c r="B59" t="s">
        <v>185</v>
      </c>
      <c r="C59" t="s">
        <v>351</v>
      </c>
      <c r="D59" t="s">
        <v>345</v>
      </c>
      <c r="E59" t="s">
        <v>346</v>
      </c>
      <c r="F59" t="s">
        <v>347</v>
      </c>
      <c r="G59">
        <v>11.57238091</v>
      </c>
      <c r="H59">
        <v>3</v>
      </c>
      <c r="I59">
        <v>0</v>
      </c>
      <c r="J59" t="e">
        <f>NA()</f>
        <v>#N/A</v>
      </c>
      <c r="K59">
        <v>7</v>
      </c>
      <c r="L59" t="e">
        <f>NA()</f>
        <v>#N/A</v>
      </c>
      <c r="M59" t="s">
        <v>314</v>
      </c>
      <c r="N59" t="str">
        <f>IF(ISNA(I59),"--",_xlfn.XLOOKUP($M59,Historical!$A$2:$A$70,Historical!$C$2:$C$70,"ERROR"))</f>
        <v>2023-09-02T04:03:55.559Z</v>
      </c>
      <c r="O59" t="str">
        <f>IF(ISNA(J59),"--",_xlfn.XLOOKUP($M59,'SSP2-4.5'!$A$2:$A$70,'SSP2-4.5'!$C$2:$C$70,"ERROR"))</f>
        <v>--</v>
      </c>
      <c r="P59" t="str">
        <f>IF(ISNA(K59),"--",_xlfn.XLOOKUP($M59,'SSP3-7.0'!$A$2:$A$70,'SSP3-7.0'!$C$2:$C$70,"ERROR"))</f>
        <v>2023-08-10T09:14:34.367Z</v>
      </c>
      <c r="Q59" t="str">
        <f>IF(ISNA(L59),"--",_xlfn.XLOOKUP($M59,'SSP5-8.5'!$A$2:$A$70,'SSP5-8.5'!$C$2:$C$70,"ERROR"))</f>
        <v>--</v>
      </c>
    </row>
    <row r="60" spans="1:17" hidden="1" x14ac:dyDescent="0.2">
      <c r="A60">
        <v>59</v>
      </c>
      <c r="B60" t="s">
        <v>171</v>
      </c>
      <c r="C60" t="s">
        <v>349</v>
      </c>
      <c r="D60" t="s">
        <v>345</v>
      </c>
      <c r="E60" t="s">
        <v>346</v>
      </c>
      <c r="F60" t="s">
        <v>347</v>
      </c>
      <c r="G60">
        <v>12.10826164</v>
      </c>
      <c r="H60">
        <v>3</v>
      </c>
      <c r="I60">
        <v>0</v>
      </c>
      <c r="J60">
        <v>4</v>
      </c>
      <c r="K60">
        <v>7</v>
      </c>
      <c r="L60">
        <v>8</v>
      </c>
      <c r="M60" t="s">
        <v>263</v>
      </c>
      <c r="N60" t="str">
        <f>IF(ISNA(I60),"--",_xlfn.XLOOKUP($M60,Historical!$A$2:$A$70,Historical!$C$2:$C$70,"ERROR"))</f>
        <v>2023-08-10T13:08:19.182Z</v>
      </c>
      <c r="O60" t="str">
        <f>IF(ISNA(J60),"--",_xlfn.XLOOKUP($M60,'SSP2-4.5'!$A$2:$A$70,'SSP2-4.5'!$C$2:$C$70,"ERROR"))</f>
        <v>2023-08-12T07:04:50.713Z</v>
      </c>
      <c r="P60" t="str">
        <f>IF(ISNA(K60),"--",_xlfn.XLOOKUP($M60,'SSP3-7.0'!$A$2:$A$70,'SSP3-7.0'!$C$2:$C$70,"ERROR"))</f>
        <v>2023-08-12T07:05:07.857Z</v>
      </c>
      <c r="Q60" t="str">
        <f>IF(ISNA(L60),"--",_xlfn.XLOOKUP($M60,'SSP5-8.5'!$A$2:$A$70,'SSP5-8.5'!$C$2:$C$70,"ERROR"))</f>
        <v>2023-08-10T15:49:56.844Z</v>
      </c>
    </row>
    <row r="61" spans="1:17" hidden="1" x14ac:dyDescent="0.2">
      <c r="A61">
        <v>60</v>
      </c>
      <c r="B61" t="s">
        <v>188</v>
      </c>
      <c r="C61" t="s">
        <v>349</v>
      </c>
      <c r="D61" t="s">
        <v>345</v>
      </c>
      <c r="E61" t="s">
        <v>346</v>
      </c>
      <c r="F61" t="s">
        <v>347</v>
      </c>
      <c r="G61">
        <v>12.31097072</v>
      </c>
      <c r="H61">
        <v>3</v>
      </c>
      <c r="I61">
        <v>0</v>
      </c>
      <c r="J61" t="e">
        <f>NA()</f>
        <v>#N/A</v>
      </c>
      <c r="K61">
        <v>7</v>
      </c>
      <c r="L61" t="e">
        <f>NA()</f>
        <v>#N/A</v>
      </c>
      <c r="M61" t="s">
        <v>321</v>
      </c>
      <c r="N61" t="str">
        <f>IF(ISNA(I61),"--",_xlfn.XLOOKUP($M61,Historical!$A$2:$A$70,Historical!$C$2:$C$70,"ERROR"))</f>
        <v>2023-08-13T21:07:53.502Z</v>
      </c>
      <c r="O61" t="str">
        <f>IF(ISNA(J61),"--",_xlfn.XLOOKUP($M61,'SSP2-4.5'!$A$2:$A$70,'SSP2-4.5'!$C$2:$C$70,"ERROR"))</f>
        <v>--</v>
      </c>
      <c r="P61" t="str">
        <f>IF(ISNA(K61),"--",_xlfn.XLOOKUP($M61,'SSP3-7.0'!$A$2:$A$70,'SSP3-7.0'!$C$2:$C$70,"ERROR"))</f>
        <v>2023-08-13T23:06:56.976Z</v>
      </c>
      <c r="Q61" t="str">
        <f>IF(ISNA(L61),"--",_xlfn.XLOOKUP($M61,'SSP5-8.5'!$A$2:$A$70,'SSP5-8.5'!$C$2:$C$70,"ERROR"))</f>
        <v>--</v>
      </c>
    </row>
    <row r="62" spans="1:17" hidden="1" x14ac:dyDescent="0.2">
      <c r="A62">
        <v>61</v>
      </c>
      <c r="B62" t="s">
        <v>189</v>
      </c>
      <c r="C62" t="s">
        <v>351</v>
      </c>
      <c r="D62" t="s">
        <v>345</v>
      </c>
      <c r="E62" t="s">
        <v>346</v>
      </c>
      <c r="F62" t="s">
        <v>347</v>
      </c>
      <c r="G62">
        <v>12.58173279</v>
      </c>
      <c r="H62">
        <v>3</v>
      </c>
      <c r="I62">
        <v>0</v>
      </c>
      <c r="J62">
        <v>4</v>
      </c>
      <c r="K62">
        <v>7</v>
      </c>
      <c r="L62">
        <v>8</v>
      </c>
      <c r="M62" t="s">
        <v>262</v>
      </c>
      <c r="N62" t="str">
        <f>IF(ISNA(I62),"--",_xlfn.XLOOKUP($M62,Historical!$A$2:$A$70,Historical!$C$2:$C$70,"ERROR"))</f>
        <v>2023-08-13T12:43:23.202Z</v>
      </c>
      <c r="O62" t="str">
        <f>IF(ISNA(J62),"--",_xlfn.XLOOKUP($M62,'SSP2-4.5'!$A$2:$A$70,'SSP2-4.5'!$C$2:$C$70,"ERROR"))</f>
        <v>2023-08-13T15:10:43.774Z</v>
      </c>
      <c r="P62" t="str">
        <f>IF(ISNA(K62),"--",_xlfn.XLOOKUP($M62,'SSP3-7.0'!$A$2:$A$70,'SSP3-7.0'!$C$2:$C$70,"ERROR"))</f>
        <v>2023-08-13T15:14:27.149Z</v>
      </c>
      <c r="Q62" t="str">
        <f>IF(ISNA(L62),"--",_xlfn.XLOOKUP($M62,'SSP5-8.5'!$A$2:$A$70,'SSP5-8.5'!$C$2:$C$70,"ERROR"))</f>
        <v>2023-08-13T07:08:33.547Z</v>
      </c>
    </row>
    <row r="63" spans="1:17" hidden="1" x14ac:dyDescent="0.2">
      <c r="A63">
        <v>62</v>
      </c>
      <c r="B63" t="s">
        <v>169</v>
      </c>
      <c r="C63" t="s">
        <v>280</v>
      </c>
      <c r="D63" t="s">
        <v>345</v>
      </c>
      <c r="E63" t="s">
        <v>346</v>
      </c>
      <c r="F63" t="s">
        <v>347</v>
      </c>
      <c r="G63">
        <v>12.85457117</v>
      </c>
      <c r="H63">
        <v>3</v>
      </c>
      <c r="I63">
        <v>0</v>
      </c>
      <c r="J63" t="e">
        <f>NA()</f>
        <v>#N/A</v>
      </c>
      <c r="K63">
        <v>7</v>
      </c>
      <c r="L63" t="e">
        <f>NA()</f>
        <v>#N/A</v>
      </c>
      <c r="M63" t="s">
        <v>261</v>
      </c>
      <c r="N63" t="str">
        <f>IF(ISNA(I63),"--",_xlfn.XLOOKUP($M63,Historical!$A$2:$A$70,Historical!$C$2:$C$70,"ERROR"))</f>
        <v>2023-08-17T11:58:02.316Z</v>
      </c>
      <c r="O63" t="str">
        <f>IF(ISNA(J63),"--",_xlfn.XLOOKUP($M63,'SSP2-4.5'!$A$2:$A$70,'SSP2-4.5'!$C$2:$C$70,"ERROR"))</f>
        <v>--</v>
      </c>
      <c r="P63" t="str">
        <f>IF(ISNA(K63),"--",_xlfn.XLOOKUP($M63,'SSP3-7.0'!$A$2:$A$70,'SSP3-7.0'!$C$2:$C$70,"ERROR"))</f>
        <v>2023-08-17T14:02:00.058Z</v>
      </c>
      <c r="Q63" t="str">
        <f>IF(ISNA(L63),"--",_xlfn.XLOOKUP($M63,'SSP5-8.5'!$A$2:$A$70,'SSP5-8.5'!$C$2:$C$70,"ERROR"))</f>
        <v>--</v>
      </c>
    </row>
    <row r="64" spans="1:17" hidden="1" x14ac:dyDescent="0.2">
      <c r="A64">
        <v>63</v>
      </c>
      <c r="B64" t="s">
        <v>186</v>
      </c>
      <c r="C64" t="s">
        <v>282</v>
      </c>
      <c r="D64" t="s">
        <v>345</v>
      </c>
      <c r="E64" t="s">
        <v>346</v>
      </c>
      <c r="F64" t="s">
        <v>347</v>
      </c>
      <c r="G64">
        <v>14.45371924</v>
      </c>
      <c r="H64">
        <v>3</v>
      </c>
      <c r="I64">
        <v>0</v>
      </c>
      <c r="J64">
        <v>4</v>
      </c>
      <c r="K64">
        <v>7</v>
      </c>
      <c r="L64">
        <v>8</v>
      </c>
      <c r="M64" t="s">
        <v>316</v>
      </c>
      <c r="N64" t="str">
        <f>IF(ISNA(I64),"--",_xlfn.XLOOKUP($M64,Historical!$A$2:$A$70,Historical!$C$2:$C$70,"ERROR"))</f>
        <v>2023-08-14T13:14:00.313Z</v>
      </c>
      <c r="O64" t="str">
        <f>IF(ISNA(J64),"--",_xlfn.XLOOKUP($M64,'SSP2-4.5'!$A$2:$A$70,'SSP2-4.5'!$C$2:$C$70,"ERROR"))</f>
        <v>2023-08-21T23:59:09.192Z</v>
      </c>
      <c r="P64" t="str">
        <f>IF(ISNA(K64),"--",_xlfn.XLOOKUP($M64,'SSP3-7.0'!$A$2:$A$70,'SSP3-7.0'!$C$2:$C$70,"ERROR"))</f>
        <v>2023-08-22T18:18:00.136Z</v>
      </c>
      <c r="Q64" t="str">
        <f>IF(ISNA(L64),"--",_xlfn.XLOOKUP($M64,'SSP5-8.5'!$A$2:$A$70,'SSP5-8.5'!$C$2:$C$70,"ERROR"))</f>
        <v>2023-08-23T22:59:36.682Z</v>
      </c>
    </row>
    <row r="65" spans="1:17" hidden="1" x14ac:dyDescent="0.2">
      <c r="A65">
        <v>70</v>
      </c>
      <c r="B65" t="s">
        <v>176</v>
      </c>
      <c r="C65" t="s">
        <v>279</v>
      </c>
      <c r="D65" t="s">
        <v>345</v>
      </c>
      <c r="E65" t="s">
        <v>346</v>
      </c>
      <c r="F65" t="s">
        <v>347</v>
      </c>
      <c r="G65">
        <v>11.5823141</v>
      </c>
      <c r="H65">
        <v>4</v>
      </c>
      <c r="I65">
        <v>0</v>
      </c>
      <c r="J65">
        <v>4</v>
      </c>
      <c r="K65">
        <v>7</v>
      </c>
      <c r="L65">
        <v>8</v>
      </c>
      <c r="M65" t="s">
        <v>306</v>
      </c>
      <c r="N65" t="str">
        <f>IF(ISNA(I65),"--",_xlfn.XLOOKUP($M65,Historical!$A$2:$A$70,Historical!$C$2:$C$70,"ERROR"))</f>
        <v>2023-06-24T06:01:35.912Z</v>
      </c>
      <c r="O65" t="str">
        <f>IF(ISNA(J65),"--",_xlfn.XLOOKUP($M65,'SSP2-4.5'!$A$2:$A$70,'SSP2-4.5'!$C$2:$C$70,"ERROR"))</f>
        <v>2023-06-27T12:05:45.364Z</v>
      </c>
      <c r="P65" t="str">
        <f>IF(ISNA(K65),"--",_xlfn.XLOOKUP($M65,'SSP3-7.0'!$A$2:$A$70,'SSP3-7.0'!$C$2:$C$70,"ERROR"))</f>
        <v>2023-06-27T12:10:44.382Z</v>
      </c>
      <c r="Q65" t="str">
        <f>IF(ISNA(L65),"--",_xlfn.XLOOKUP($M65,'SSP5-8.5'!$A$2:$A$70,'SSP5-8.5'!$C$2:$C$70,"ERROR"))</f>
        <v>2023-06-27T10:36:19.218Z</v>
      </c>
    </row>
    <row r="66" spans="1:17" hidden="1" x14ac:dyDescent="0.2">
      <c r="A66">
        <v>72</v>
      </c>
      <c r="B66" t="s">
        <v>177</v>
      </c>
      <c r="C66" t="s">
        <v>279</v>
      </c>
      <c r="D66" t="s">
        <v>345</v>
      </c>
      <c r="E66" t="s">
        <v>346</v>
      </c>
      <c r="F66" t="s">
        <v>347</v>
      </c>
      <c r="G66">
        <v>12.30121945</v>
      </c>
      <c r="H66">
        <v>4</v>
      </c>
      <c r="I66">
        <v>0</v>
      </c>
      <c r="J66">
        <v>4</v>
      </c>
      <c r="K66">
        <v>7</v>
      </c>
      <c r="L66">
        <v>8</v>
      </c>
      <c r="M66" t="s">
        <v>272</v>
      </c>
      <c r="N66" t="str">
        <f>IF(ISNA(I66),"--",_xlfn.XLOOKUP($M66,Historical!$A$2:$A$70,Historical!$C$2:$C$70,"ERROR"))</f>
        <v>2023-06-23T02:32:11.148Z</v>
      </c>
      <c r="O66" t="str">
        <f>IF(ISNA(J66),"--",_xlfn.XLOOKUP($M66,'SSP2-4.5'!$A$2:$A$70,'SSP2-4.5'!$C$2:$C$70,"ERROR"))</f>
        <v>2023-06-23T05:43:58.271Z</v>
      </c>
      <c r="P66" t="str">
        <f>IF(ISNA(K66),"--",_xlfn.XLOOKUP($M66,'SSP3-7.0'!$A$2:$A$70,'SSP3-7.0'!$C$2:$C$70,"ERROR"))</f>
        <v>2023-06-23T05:44:43.995Z</v>
      </c>
      <c r="Q66" t="str">
        <f>IF(ISNA(L66),"--",_xlfn.XLOOKUP($M66,'SSP5-8.5'!$A$2:$A$70,'SSP5-8.5'!$C$2:$C$70,"ERROR"))</f>
        <v>2023-06-24T09:45:34.084Z</v>
      </c>
    </row>
    <row r="67" spans="1:17" hidden="1" x14ac:dyDescent="0.2">
      <c r="A67">
        <v>73</v>
      </c>
      <c r="B67" t="s">
        <v>188</v>
      </c>
      <c r="C67" t="s">
        <v>279</v>
      </c>
      <c r="D67" t="s">
        <v>345</v>
      </c>
      <c r="E67" t="s">
        <v>346</v>
      </c>
      <c r="F67" t="s">
        <v>347</v>
      </c>
      <c r="G67">
        <v>12.387493689999999</v>
      </c>
      <c r="H67">
        <v>4</v>
      </c>
      <c r="I67">
        <v>0</v>
      </c>
      <c r="J67">
        <v>4</v>
      </c>
      <c r="K67">
        <v>7</v>
      </c>
      <c r="L67">
        <v>8</v>
      </c>
      <c r="M67" t="s">
        <v>319</v>
      </c>
      <c r="N67" t="str">
        <f>IF(ISNA(I67),"--",_xlfn.XLOOKUP($M67,Historical!$A$2:$A$70,Historical!$C$2:$C$70,"ERROR"))</f>
        <v>2023-07-04T12:00:19.607Z</v>
      </c>
      <c r="O67" t="str">
        <f>IF(ISNA(J67),"--",_xlfn.XLOOKUP($M67,'SSP2-4.5'!$A$2:$A$70,'SSP2-4.5'!$C$2:$C$70,"ERROR"))</f>
        <v>2023-07-04T14:47:56.597Z</v>
      </c>
      <c r="P67" t="str">
        <f>IF(ISNA(K67),"--",_xlfn.XLOOKUP($M67,'SSP3-7.0'!$A$2:$A$70,'SSP3-7.0'!$C$2:$C$70,"ERROR"))</f>
        <v>2023-07-06T06:26:39.021Z</v>
      </c>
      <c r="Q67" t="str">
        <f>IF(ISNA(L67),"--",_xlfn.XLOOKUP($M67,'SSP5-8.5'!$A$2:$A$70,'SSP5-8.5'!$C$2:$C$70,"ERROR"))</f>
        <v>2023-07-04T14:40:55.309Z</v>
      </c>
    </row>
    <row r="68" spans="1:17" hidden="1" x14ac:dyDescent="0.2">
      <c r="A68">
        <v>88</v>
      </c>
      <c r="B68" t="s">
        <v>172</v>
      </c>
      <c r="C68" t="s">
        <v>279</v>
      </c>
      <c r="D68" t="s">
        <v>345</v>
      </c>
      <c r="E68" t="s">
        <v>346</v>
      </c>
      <c r="F68" t="s">
        <v>347</v>
      </c>
      <c r="G68">
        <v>11.249888889999999</v>
      </c>
      <c r="H68">
        <v>6</v>
      </c>
      <c r="I68">
        <v>0</v>
      </c>
      <c r="J68" t="e">
        <f>NA()</f>
        <v>#N/A</v>
      </c>
      <c r="K68">
        <v>7</v>
      </c>
      <c r="L68" t="e">
        <f>NA()</f>
        <v>#N/A</v>
      </c>
      <c r="M68" t="s">
        <v>271</v>
      </c>
      <c r="N68" t="str">
        <f>IF(ISNA(I68),"--",_xlfn.XLOOKUP($M68,Historical!$A$2:$A$70,Historical!$C$2:$C$70,"ERROR"))</f>
        <v>2023-06-27T08:55:37.559Z</v>
      </c>
      <c r="O68" t="str">
        <f>IF(ISNA(J68),"--",_xlfn.XLOOKUP($M68,'SSP2-4.5'!$A$2:$A$70,'SSP2-4.5'!$C$2:$C$70,"ERROR"))</f>
        <v>--</v>
      </c>
      <c r="P68" t="str">
        <f>IF(ISNA(K68),"--",_xlfn.XLOOKUP($M68,'SSP3-7.0'!$A$2:$A$70,'SSP3-7.0'!$C$2:$C$70,"ERROR"))</f>
        <v>2023-06-23T05:48:08.253Z</v>
      </c>
      <c r="Q68" t="str">
        <f>IF(ISNA(L68),"--",_xlfn.XLOOKUP($M68,'SSP5-8.5'!$A$2:$A$70,'SSP5-8.5'!$C$2:$C$70,"ERROR"))</f>
        <v>--</v>
      </c>
    </row>
    <row r="69" spans="1:17" hidden="1" x14ac:dyDescent="0.2">
      <c r="A69">
        <v>89</v>
      </c>
      <c r="B69" t="s">
        <v>185</v>
      </c>
      <c r="C69" t="s">
        <v>279</v>
      </c>
      <c r="D69" t="s">
        <v>345</v>
      </c>
      <c r="E69" t="s">
        <v>346</v>
      </c>
      <c r="F69" t="s">
        <v>347</v>
      </c>
      <c r="G69">
        <v>11.812705019999999</v>
      </c>
      <c r="H69">
        <v>6</v>
      </c>
      <c r="I69">
        <v>0</v>
      </c>
      <c r="J69">
        <v>4</v>
      </c>
      <c r="K69">
        <v>7</v>
      </c>
      <c r="L69">
        <v>8</v>
      </c>
      <c r="M69" t="s">
        <v>312</v>
      </c>
      <c r="N69" t="str">
        <f>IF(ISNA(I69),"--",_xlfn.XLOOKUP($M69,Historical!$A$2:$A$70,Historical!$C$2:$C$70,"ERROR"))</f>
        <v>2023-06-24T06:05:55.186Z</v>
      </c>
      <c r="O69" t="str">
        <f>IF(ISNA(J69),"--",_xlfn.XLOOKUP($M69,'SSP2-4.5'!$A$2:$A$70,'SSP2-4.5'!$C$2:$C$70,"ERROR"))</f>
        <v>2023-06-27T12:11:10.334Z</v>
      </c>
      <c r="P69" t="str">
        <f>IF(ISNA(K69),"--",_xlfn.XLOOKUP($M69,'SSP3-7.0'!$A$2:$A$70,'SSP3-7.0'!$C$2:$C$70,"ERROR"))</f>
        <v>2023-06-27T12:20:54.574Z</v>
      </c>
      <c r="Q69" t="str">
        <f>IF(ISNA(L69),"--",_xlfn.XLOOKUP($M69,'SSP5-8.5'!$A$2:$A$70,'SSP5-8.5'!$C$2:$C$70,"ERROR"))</f>
        <v>ERROR</v>
      </c>
    </row>
    <row r="70" spans="1:17" hidden="1" x14ac:dyDescent="0.2">
      <c r="A70">
        <v>101</v>
      </c>
      <c r="B70" t="s">
        <v>189</v>
      </c>
      <c r="C70" t="s">
        <v>279</v>
      </c>
      <c r="D70" t="s">
        <v>345</v>
      </c>
      <c r="E70" t="s">
        <v>346</v>
      </c>
      <c r="F70" t="s">
        <v>347</v>
      </c>
      <c r="G70">
        <v>13.742270550000001</v>
      </c>
      <c r="H70">
        <v>8</v>
      </c>
      <c r="I70">
        <v>0</v>
      </c>
      <c r="J70">
        <v>4</v>
      </c>
      <c r="K70">
        <v>7</v>
      </c>
      <c r="L70">
        <v>8</v>
      </c>
      <c r="M70" t="s">
        <v>268</v>
      </c>
      <c r="N70" t="str">
        <f>IF(ISNA(I70),"--",_xlfn.XLOOKUP($M70,Historical!$A$2:$A$70,Historical!$C$2:$C$70,"ERROR"))</f>
        <v>2023-07-05T13:38:30.102Z</v>
      </c>
      <c r="O70" t="str">
        <f>IF(ISNA(J70),"--",_xlfn.XLOOKUP($M70,'SSP2-4.5'!$A$2:$A$70,'SSP2-4.5'!$C$2:$C$70,"ERROR"))</f>
        <v>2023-07-05T16:12:18.941Z</v>
      </c>
      <c r="P70" t="str">
        <f>IF(ISNA(K70),"--",_xlfn.XLOOKUP($M70,'SSP3-7.0'!$A$2:$A$70,'SSP3-7.0'!$C$2:$C$70,"ERROR"))</f>
        <v>2023-07-05T16:12:41.849Z</v>
      </c>
      <c r="Q70" t="str">
        <f>IF(ISNA(L70),"--",_xlfn.XLOOKUP($M70,'SSP5-8.5'!$A$2:$A$70,'SSP5-8.5'!$C$2:$C$70,"ERROR"))</f>
        <v>2023-07-05T16:07:07.586Z</v>
      </c>
    </row>
  </sheetData>
  <autoFilter ref="A1:Q70" xr:uid="{9406CAF5-5CAD-2F44-A630-886EF043C3E3}">
    <filterColumn colId="7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</vt:lpstr>
      <vt:lpstr>SSP2-4.5</vt:lpstr>
      <vt:lpstr>SSP3-7.0</vt:lpstr>
      <vt:lpstr>SSP5-8.5</vt:lpstr>
      <vt:lpstr>available_inv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Capehart, William J</dc:creator>
  <cp:lastModifiedBy>Capehart, William J</cp:lastModifiedBy>
  <dcterms:created xsi:type="dcterms:W3CDTF">2025-07-30T15:08:48Z</dcterms:created>
  <dcterms:modified xsi:type="dcterms:W3CDTF">2025-07-30T18:24:58Z</dcterms:modified>
</cp:coreProperties>
</file>